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phB\Desktop\LOS Calculator\"/>
    </mc:Choice>
  </mc:AlternateContent>
  <xr:revisionPtr revIDLastSave="0" documentId="8_{229967B3-22F9-410E-90ED-CFC6C52B6A98}" xr6:coauthVersionLast="47" xr6:coauthVersionMax="47" xr10:uidLastSave="{00000000-0000-0000-0000-000000000000}"/>
  <bookViews>
    <workbookView xWindow="0" yWindow="0" windowWidth="11520" windowHeight="13800" xr2:uid="{67D89583-01B4-4A67-BD1C-29965D5CC89B}"/>
  </bookViews>
  <sheets>
    <sheet name="Summary" sheetId="1" r:id="rId1"/>
    <sheet name="Ramping" sheetId="2" r:id="rId2"/>
    <sheet name="Geometry" sheetId="3" r:id="rId3"/>
    <sheet name="Wayfinding" sheetId="4" r:id="rId4"/>
    <sheet name="Data" sheetId="6" r:id="rId5"/>
  </sheets>
  <definedNames>
    <definedName name="_45°">Data!$I$124:$L$124</definedName>
    <definedName name="_50°">Data!$I$123:$L$123</definedName>
    <definedName name="_55°">Data!$I$122:$L$122</definedName>
    <definedName name="_60°">Data!$I$121:$L$121</definedName>
    <definedName name="_65°">Data!$I$120:$L$120</definedName>
    <definedName name="_70°">Data!$I$119:$L$119</definedName>
    <definedName name="_75°">Data!$I$118:$L$118</definedName>
    <definedName name="_90°">Data!$I$117:$L$117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6" l="1"/>
  <c r="D27" i="6"/>
  <c r="E27" i="6"/>
  <c r="B27" i="6"/>
  <c r="C23" i="6"/>
  <c r="D23" i="6"/>
  <c r="E23" i="6"/>
  <c r="B23" i="6"/>
  <c r="K9" i="1"/>
  <c r="H9" i="1"/>
  <c r="C24" i="4"/>
  <c r="D24" i="4"/>
  <c r="B24" i="4"/>
  <c r="D29" i="4"/>
  <c r="C29" i="4"/>
  <c r="B29" i="4"/>
  <c r="C34" i="2"/>
  <c r="C35" i="2" s="1"/>
  <c r="D34" i="2"/>
  <c r="D35" i="2" s="1"/>
  <c r="B34" i="2"/>
  <c r="B35" i="2" s="1"/>
  <c r="C256" i="6"/>
  <c r="E256" i="6"/>
  <c r="D256" i="6"/>
  <c r="E255" i="6"/>
  <c r="D255" i="6"/>
  <c r="C255" i="6"/>
  <c r="C30" i="3"/>
  <c r="C31" i="3" s="1"/>
  <c r="D30" i="3"/>
  <c r="D31" i="3" s="1"/>
  <c r="B30" i="3"/>
  <c r="B31" i="3" s="1"/>
  <c r="E215" i="6" l="1"/>
  <c r="C215" i="6"/>
  <c r="A215" i="6"/>
  <c r="D23" i="4"/>
  <c r="C23" i="4"/>
  <c r="B23" i="4"/>
  <c r="D22" i="4"/>
  <c r="C22" i="4"/>
  <c r="B22" i="4"/>
  <c r="D21" i="4"/>
  <c r="C21" i="4"/>
  <c r="B21" i="4"/>
  <c r="D20" i="4"/>
  <c r="C20" i="4"/>
  <c r="B20" i="4"/>
  <c r="B17" i="2"/>
  <c r="B87" i="6" s="1"/>
  <c r="B89" i="6" s="1"/>
  <c r="A29" i="1"/>
  <c r="D30" i="1"/>
  <c r="C30" i="1"/>
  <c r="B30" i="1"/>
  <c r="C25" i="4"/>
  <c r="D25" i="4"/>
  <c r="D27" i="4" s="1"/>
  <c r="B25" i="4"/>
  <c r="B26" i="4" s="1"/>
  <c r="D9" i="4"/>
  <c r="D11" i="4" s="1"/>
  <c r="D10" i="4" s="1"/>
  <c r="C9" i="4"/>
  <c r="C11" i="4" s="1"/>
  <c r="C10" i="4" s="1"/>
  <c r="B9" i="4"/>
  <c r="B11" i="4" s="1"/>
  <c r="B10" i="4" s="1"/>
  <c r="D4" i="4"/>
  <c r="F216" i="6" s="1"/>
  <c r="F217" i="6" s="1"/>
  <c r="F218" i="6" s="1"/>
  <c r="F220" i="6" s="1"/>
  <c r="C4" i="4"/>
  <c r="D216" i="6" s="1"/>
  <c r="D217" i="6" s="1"/>
  <c r="B4" i="4"/>
  <c r="B216" i="6" s="1"/>
  <c r="B217" i="6" s="1"/>
  <c r="B219" i="6" s="1"/>
  <c r="D2" i="4"/>
  <c r="C2" i="4"/>
  <c r="B2" i="4"/>
  <c r="B22" i="2"/>
  <c r="B123" i="6" s="1"/>
  <c r="D33" i="6"/>
  <c r="E33" i="6"/>
  <c r="F33" i="6"/>
  <c r="B41" i="6"/>
  <c r="B42" i="6" s="1"/>
  <c r="D9" i="2"/>
  <c r="B2" i="3"/>
  <c r="E193" i="6"/>
  <c r="C193" i="6"/>
  <c r="A193" i="6"/>
  <c r="B6" i="2"/>
  <c r="D11" i="3"/>
  <c r="C11" i="3"/>
  <c r="B11" i="3"/>
  <c r="D17" i="3"/>
  <c r="D19" i="3" s="1"/>
  <c r="C17" i="3"/>
  <c r="C19" i="3" s="1"/>
  <c r="B17" i="3"/>
  <c r="B19" i="3" s="1"/>
  <c r="D12" i="3"/>
  <c r="F194" i="6" s="1"/>
  <c r="C12" i="3"/>
  <c r="D194" i="6" s="1"/>
  <c r="B12" i="3"/>
  <c r="B194" i="6" s="1"/>
  <c r="D3" i="3"/>
  <c r="C3" i="3"/>
  <c r="B3" i="3"/>
  <c r="D3" i="2"/>
  <c r="C3" i="2"/>
  <c r="B3" i="2"/>
  <c r="D6" i="3"/>
  <c r="C6" i="3"/>
  <c r="B6" i="3"/>
  <c r="D5" i="3"/>
  <c r="C5" i="3"/>
  <c r="B5" i="3"/>
  <c r="E122" i="6"/>
  <c r="C122" i="6"/>
  <c r="A122" i="6"/>
  <c r="D22" i="2"/>
  <c r="F123" i="6" s="1"/>
  <c r="C22" i="2"/>
  <c r="D123" i="6" s="1"/>
  <c r="A86" i="6"/>
  <c r="E86" i="6"/>
  <c r="C86" i="6"/>
  <c r="D17" i="2"/>
  <c r="F87" i="6" s="1"/>
  <c r="C17" i="2"/>
  <c r="D87" i="6" s="1"/>
  <c r="D7" i="2"/>
  <c r="C7" i="2"/>
  <c r="B7" i="2"/>
  <c r="B2" i="2"/>
  <c r="F60" i="6"/>
  <c r="D60" i="6"/>
  <c r="B60" i="6"/>
  <c r="C9" i="2"/>
  <c r="B9" i="2"/>
  <c r="C27" i="4" l="1"/>
  <c r="C26" i="4"/>
  <c r="D15" i="4"/>
  <c r="B15" i="4"/>
  <c r="C15" i="4"/>
  <c r="D26" i="4"/>
  <c r="D30" i="4" s="1"/>
  <c r="B7" i="3" a="1"/>
  <c r="B7" i="3" s="1"/>
  <c r="B8" i="3" s="1"/>
  <c r="D7" i="3" a="1"/>
  <c r="D7" i="3" s="1"/>
  <c r="D8" i="3" s="1"/>
  <c r="D22" i="3" s="1"/>
  <c r="B196" i="6"/>
  <c r="B198" i="6" s="1"/>
  <c r="D196" i="6" a="1"/>
  <c r="D196" i="6" s="1"/>
  <c r="D198" i="6" s="1"/>
  <c r="F196" i="6"/>
  <c r="F198" i="6" s="1"/>
  <c r="B27" i="4"/>
  <c r="C7" i="3" a="1"/>
  <c r="C7" i="3" s="1"/>
  <c r="C8" i="3" s="1"/>
  <c r="C22" i="3" s="1"/>
  <c r="D195" i="6"/>
  <c r="D197" i="6" s="1"/>
  <c r="F195" i="6"/>
  <c r="F197" i="6" s="1"/>
  <c r="D219" i="6"/>
  <c r="D218" i="6"/>
  <c r="D220" i="6" s="1"/>
  <c r="F219" i="6"/>
  <c r="E222" i="6" s="1"/>
  <c r="D6" i="4" s="1"/>
  <c r="D14" i="4" s="1"/>
  <c r="B218" i="6"/>
  <c r="B220" i="6" s="1"/>
  <c r="B195" i="6"/>
  <c r="B197" i="6" s="1"/>
  <c r="B124" i="6"/>
  <c r="B126" i="6" s="1"/>
  <c r="B125" i="6"/>
  <c r="B127" i="6" s="1"/>
  <c r="D18" i="3"/>
  <c r="C18" i="3"/>
  <c r="B18" i="3"/>
  <c r="B24" i="3"/>
  <c r="D124" i="6"/>
  <c r="D126" i="6" s="1"/>
  <c r="D88" i="6"/>
  <c r="D89" i="6"/>
  <c r="F89" i="6"/>
  <c r="F88" i="6"/>
  <c r="F124" i="6"/>
  <c r="F126" i="6" s="1"/>
  <c r="F125" i="6"/>
  <c r="F127" i="6" s="1"/>
  <c r="D125" i="6"/>
  <c r="D127" i="6" s="1"/>
  <c r="B88" i="6"/>
  <c r="D5" i="2"/>
  <c r="D8" i="2" s="1" a="1"/>
  <c r="D8" i="2" s="1"/>
  <c r="C5" i="2"/>
  <c r="C8" i="2" s="1" a="1"/>
  <c r="C8" i="2" s="1"/>
  <c r="B5" i="2"/>
  <c r="B8" i="2" s="1" a="1"/>
  <c r="B8" i="2" s="1"/>
  <c r="B10" i="2" s="1"/>
  <c r="B12" i="2" s="1"/>
  <c r="D11" i="2"/>
  <c r="C11" i="2"/>
  <c r="B11" i="2"/>
  <c r="D6" i="2"/>
  <c r="C6" i="2"/>
  <c r="C24" i="3"/>
  <c r="D24" i="3"/>
  <c r="D16" i="4" l="1"/>
  <c r="D17" i="4" s="1"/>
  <c r="D5" i="4"/>
  <c r="C222" i="6"/>
  <c r="C6" i="4" s="1"/>
  <c r="C14" i="4" s="1"/>
  <c r="A222" i="6"/>
  <c r="B6" i="4" s="1"/>
  <c r="B14" i="4" s="1"/>
  <c r="D91" i="6"/>
  <c r="D90" i="6"/>
  <c r="B90" i="6"/>
  <c r="B91" i="6"/>
  <c r="F91" i="6"/>
  <c r="F90" i="6"/>
  <c r="E200" i="6"/>
  <c r="D14" i="3" s="1"/>
  <c r="C200" i="6"/>
  <c r="C14" i="3" s="1"/>
  <c r="A200" i="6"/>
  <c r="B14" i="3" s="1"/>
  <c r="B13" i="3" s="1"/>
  <c r="B22" i="3"/>
  <c r="A129" i="6"/>
  <c r="B24" i="2" s="1"/>
  <c r="B23" i="2" s="1"/>
  <c r="C129" i="6"/>
  <c r="C24" i="2" s="1"/>
  <c r="C23" i="2" s="1"/>
  <c r="E129" i="6"/>
  <c r="D24" i="2" s="1"/>
  <c r="D23" i="2" s="1"/>
  <c r="C10" i="2"/>
  <c r="D10" i="2"/>
  <c r="C61" i="6"/>
  <c r="D32" i="4" l="1"/>
  <c r="D33" i="4" s="1"/>
  <c r="E93" i="6"/>
  <c r="D19" i="2" s="1"/>
  <c r="D29" i="2" s="1"/>
  <c r="B16" i="4"/>
  <c r="B17" i="4" s="1"/>
  <c r="B5" i="4"/>
  <c r="C16" i="4"/>
  <c r="C17" i="4" s="1"/>
  <c r="C5" i="4"/>
  <c r="C13" i="3"/>
  <c r="C23" i="3"/>
  <c r="C26" i="3" s="1"/>
  <c r="D13" i="3"/>
  <c r="D23" i="3"/>
  <c r="D26" i="3" s="1"/>
  <c r="B23" i="3"/>
  <c r="B26" i="3" s="1"/>
  <c r="B33" i="3" s="1"/>
  <c r="A93" i="6"/>
  <c r="B30" i="2"/>
  <c r="D30" i="2"/>
  <c r="C30" i="2"/>
  <c r="C93" i="6"/>
  <c r="C19" i="2" s="1"/>
  <c r="C29" i="2" s="1"/>
  <c r="C62" i="6"/>
  <c r="C63" i="6"/>
  <c r="D12" i="2"/>
  <c r="C12" i="2"/>
  <c r="D18" i="2" l="1"/>
  <c r="D33" i="3"/>
  <c r="C27" i="3"/>
  <c r="C33" i="3"/>
  <c r="B34" i="3"/>
  <c r="B32" i="1"/>
  <c r="B37" i="1" s="1"/>
  <c r="B19" i="2"/>
  <c r="B29" i="2" s="1"/>
  <c r="D33" i="1"/>
  <c r="D38" i="1" s="1"/>
  <c r="D27" i="3"/>
  <c r="B27" i="3"/>
  <c r="C18" i="2"/>
  <c r="G61" i="6"/>
  <c r="C65" i="6"/>
  <c r="C64" i="6"/>
  <c r="E61" i="6"/>
  <c r="B18" i="2" l="1"/>
  <c r="C34" i="3"/>
  <c r="C32" i="1"/>
  <c r="C37" i="1" s="1"/>
  <c r="D32" i="1"/>
  <c r="D37" i="1" s="1"/>
  <c r="D34" i="3"/>
  <c r="B67" i="6"/>
  <c r="B14" i="2" s="1"/>
  <c r="G63" i="6"/>
  <c r="G62" i="6"/>
  <c r="E62" i="6"/>
  <c r="E63" i="6"/>
  <c r="B28" i="2" l="1"/>
  <c r="B31" i="2" s="1"/>
  <c r="B37" i="2" s="1"/>
  <c r="B13" i="2"/>
  <c r="G65" i="6"/>
  <c r="G64" i="6"/>
  <c r="E64" i="6"/>
  <c r="E65" i="6"/>
  <c r="B31" i="1" l="1"/>
  <c r="B36" i="1" s="1"/>
  <c r="F67" i="6"/>
  <c r="D14" i="2" s="1"/>
  <c r="D67" i="6"/>
  <c r="C14" i="2" s="1"/>
  <c r="B38" i="2" l="1"/>
  <c r="C28" i="2"/>
  <c r="C31" i="2" s="1"/>
  <c r="C37" i="2" s="1"/>
  <c r="C13" i="2"/>
  <c r="D28" i="2"/>
  <c r="D31" i="2" s="1"/>
  <c r="D37" i="2" s="1"/>
  <c r="D13" i="2"/>
  <c r="D31" i="1" l="1"/>
  <c r="C31" i="1"/>
  <c r="C38" i="2"/>
  <c r="D38" i="2" l="1"/>
  <c r="C36" i="1"/>
  <c r="D36" i="1"/>
  <c r="D39" i="1" s="1"/>
  <c r="D40" i="1" s="1"/>
  <c r="B30" i="4"/>
  <c r="B32" i="4" s="1"/>
  <c r="B33" i="4" l="1"/>
  <c r="B33" i="1"/>
  <c r="B38" i="1" s="1"/>
  <c r="B39" i="1" s="1"/>
  <c r="B40" i="1" s="1"/>
  <c r="C30" i="4"/>
  <c r="C32" i="4" s="1"/>
  <c r="C33" i="1" l="1"/>
  <c r="C38" i="1" s="1"/>
  <c r="C39" i="1" s="1"/>
  <c r="C40" i="1" s="1"/>
  <c r="C33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<sst xmlns="http://schemas.openxmlformats.org/spreadsheetml/2006/main" count="664" uniqueCount="388">
  <si>
    <t>LOS Calculator for Three Design Options</t>
  </si>
  <si>
    <r>
      <rPr>
        <sz val="11"/>
        <rFont val="Calibri"/>
        <family val="2"/>
        <scheme val="minor"/>
      </rPr>
      <t>User to input data in</t>
    </r>
    <r>
      <rPr>
        <sz val="11"/>
        <color rgb="FFFF0000"/>
        <rFont val="Calibri"/>
        <family val="2"/>
        <scheme val="minor"/>
      </rPr>
      <t xml:space="preserve"> RED.</t>
    </r>
  </si>
  <si>
    <t>MDACC South Campus Garage 2</t>
  </si>
  <si>
    <t>Inputs</t>
  </si>
  <si>
    <t>Option 1</t>
  </si>
  <si>
    <t>Option 2</t>
  </si>
  <si>
    <t>Option 3</t>
  </si>
  <si>
    <t xml:space="preserve">For Multi-User Group Garages Only (Hospital Mixed &amp; University Mixed): Enter the percent mix of User Group below to lock in the peak load factor. </t>
  </si>
  <si>
    <t>Market Sector (Drop Down List)</t>
  </si>
  <si>
    <t>Research</t>
  </si>
  <si>
    <t>RAMPING</t>
  </si>
  <si>
    <t>Hospital Mixed:</t>
  </si>
  <si>
    <t>University Mixed:</t>
  </si>
  <si>
    <t>Number of Spaces (Whole Number Only)</t>
  </si>
  <si>
    <t>Visitor</t>
  </si>
  <si>
    <t xml:space="preserve">Students </t>
  </si>
  <si>
    <t>Number of Levels (Whole Number Only)</t>
  </si>
  <si>
    <t>Employees/Staff</t>
  </si>
  <si>
    <t>Staff</t>
  </si>
  <si>
    <t>Ramp Type (Drop-Down List)</t>
  </si>
  <si>
    <t>Double Threaded Helix - 2  Way</t>
  </si>
  <si>
    <t>Outpatient</t>
  </si>
  <si>
    <t>Faculty</t>
  </si>
  <si>
    <t>Ramp Slope (PERCENT)</t>
  </si>
  <si>
    <t>Must add up to 100%</t>
  </si>
  <si>
    <t>Number of Turns to Last Space (Decimal)</t>
  </si>
  <si>
    <t>Number of Spaces Not Engaged by Ramp (Whole Number Only)</t>
  </si>
  <si>
    <t>Number of Garage Bays</t>
  </si>
  <si>
    <t>Spaces Passed in Up Circuit &gt; Spaces Passed in Down Circuit?</t>
  </si>
  <si>
    <t>YES</t>
  </si>
  <si>
    <t>Stall Angle (Drop-Down List)</t>
  </si>
  <si>
    <t>90°</t>
  </si>
  <si>
    <t>GEOMETRY</t>
  </si>
  <si>
    <t>Standard Parking Stall Width (Drop-Down List)</t>
  </si>
  <si>
    <t>9'-0"</t>
  </si>
  <si>
    <t>Bay Width (Drop Down List) (Round Down to nearest choice)</t>
  </si>
  <si>
    <t>61'</t>
  </si>
  <si>
    <t>Note:This row has a drop down list dependent on the stall angle. You MUST update this row after you change stall angle.</t>
  </si>
  <si>
    <t>End Bay Width (Decimal Feet)</t>
  </si>
  <si>
    <t>Circulation (One way / Two way)</t>
  </si>
  <si>
    <t>Two-Way</t>
  </si>
  <si>
    <t>Column at the end of the spaces? (Typical in short-span construction)</t>
  </si>
  <si>
    <t>NO</t>
  </si>
  <si>
    <t>Flat Floor Parking (%)</t>
  </si>
  <si>
    <t>WAYFINDING</t>
  </si>
  <si>
    <t>Clear Height - 3'-0" Structure Assumed (Drop-Down List)</t>
  </si>
  <si>
    <t>10'-6" (7'-6" CLR)</t>
  </si>
  <si>
    <t>Construction Type (Drop-Down List)</t>
  </si>
  <si>
    <t>Precast</t>
  </si>
  <si>
    <t>Counting System to be Installed in Garage? (Drop-Down List)</t>
  </si>
  <si>
    <t>None</t>
  </si>
  <si>
    <t>Ramp Aligned with Entry/Exit? (Yes/No)</t>
  </si>
  <si>
    <t>Contiguous Flat Floor Parking? (Yes/No)</t>
  </si>
  <si>
    <t>CIP : Cable Rails or Walls on Interior Ramp?</t>
  </si>
  <si>
    <t>Cable Rails</t>
  </si>
  <si>
    <t>Precast : Shear Wall Location - Exterior/Interior/End Bays?</t>
  </si>
  <si>
    <t>End Bays</t>
  </si>
  <si>
    <t>Summary of Level of Service</t>
  </si>
  <si>
    <t>Overall Ramping Score</t>
  </si>
  <si>
    <t>(See Tab for Detailed Information)</t>
  </si>
  <si>
    <t>Overall Geometry Score</t>
  </si>
  <si>
    <t>Overall Wayfinding Score (w/Enhancements)</t>
  </si>
  <si>
    <t>Final Weighted Level of Service</t>
  </si>
  <si>
    <t>Ramps (45%)</t>
  </si>
  <si>
    <t>Geometry (40%)</t>
  </si>
  <si>
    <t>Wayfinding (15%)</t>
  </si>
  <si>
    <t>TOTAL SCORE</t>
  </si>
  <si>
    <t>LOS LETTER GRADE</t>
  </si>
  <si>
    <t>Every Calculation is automatic. Do not manually manipulate any data on this sheet!</t>
  </si>
  <si>
    <t>Parameter</t>
  </si>
  <si>
    <t>Market Sector</t>
  </si>
  <si>
    <t>Space Count</t>
  </si>
  <si>
    <t>Ramp Type</t>
  </si>
  <si>
    <t>Peak Load Factor (Percentage Expressed as Decimal)</t>
  </si>
  <si>
    <t xml:space="preserve">Number of Spaces Not Engaged by Ramp </t>
  </si>
  <si>
    <t>Max Peak Load Per Hour</t>
  </si>
  <si>
    <t>Number of Levels</t>
  </si>
  <si>
    <t>% of Ramp Capacity</t>
  </si>
  <si>
    <t>Ramping Usage LOS</t>
  </si>
  <si>
    <t>Numerical Score Equivalent</t>
  </si>
  <si>
    <t>Number of 360 Degree Revolutions to Last Space</t>
  </si>
  <si>
    <t>Revolution LOS</t>
  </si>
  <si>
    <t>Numerical Score Equivalent (use Midpoint of LOS)</t>
  </si>
  <si>
    <t>Ramp Slope (TYP Floor) In PERCENT</t>
  </si>
  <si>
    <t>Ramp Slope LOS</t>
  </si>
  <si>
    <t xml:space="preserve">Numerical Score Equivalent </t>
  </si>
  <si>
    <t>Ramping System Weighted Level of Service</t>
  </si>
  <si>
    <t>Ramp Capacity (50%)</t>
  </si>
  <si>
    <t>Turns to the top (25%)</t>
  </si>
  <si>
    <t>Ramp Slope (25%)</t>
  </si>
  <si>
    <t>Ramping Enhancement/Reduction</t>
  </si>
  <si>
    <t>Up Circuit is Greater than Down Circuit? (N=-7%)</t>
  </si>
  <si>
    <t>Impact is also seen in  Wayfinding Category. See TAB.</t>
  </si>
  <si>
    <t>Total Ramping Enhancement/Reduction Percentage</t>
  </si>
  <si>
    <t>TOTAL Ramping Level Of Service Score</t>
  </si>
  <si>
    <t>Overall Ramping Level of Service Grade</t>
  </si>
  <si>
    <t>Stall Angle</t>
  </si>
  <si>
    <t>Bay Width (Decimal Feet)</t>
  </si>
  <si>
    <t>Bay Width LOS</t>
  </si>
  <si>
    <t>Numerical Score Equivelant (use Midpoint of LOS)</t>
  </si>
  <si>
    <t>Circulation (One-Way/Two-Way)</t>
  </si>
  <si>
    <t>End Bay Dimension (Decimal Feet)</t>
  </si>
  <si>
    <t>End Bay LOS</t>
  </si>
  <si>
    <t xml:space="preserve">Numerical Score Equivelant </t>
  </si>
  <si>
    <t>Standard Size Parking Stall Size (Feet)</t>
  </si>
  <si>
    <t>Parking Stall LOS</t>
  </si>
  <si>
    <t>Geometry Weighted Level Of Service</t>
  </si>
  <si>
    <t>Bay Width (35%)</t>
  </si>
  <si>
    <t>End Bay Dimension (40%)</t>
  </si>
  <si>
    <t>Parking Stall Size (25%)</t>
  </si>
  <si>
    <t>Baseline Geometry Level Of Service Score</t>
  </si>
  <si>
    <t>Baseline Geometry Level of Service Grade</t>
  </si>
  <si>
    <t>Geometry Enhancement/Reduction</t>
  </si>
  <si>
    <t>Column at the end of the space (Short Span) - Usually present in podiumn garages (3%)</t>
  </si>
  <si>
    <t>Total Geometry Enhancement/Reduction</t>
  </si>
  <si>
    <t>Total Geometry Level of Service Score with Enhancements</t>
  </si>
  <si>
    <t>Overall Geometry Level of Service Grade with Enhancements</t>
  </si>
  <si>
    <t>Flat Floor Parking  (%)</t>
  </si>
  <si>
    <t>Percent Flat Floor Parking LOS</t>
  </si>
  <si>
    <t>Typical Floor to Floor Height (Clear)</t>
  </si>
  <si>
    <t>Typical Floor to Floor Height LOS</t>
  </si>
  <si>
    <t>Wayfinding Weighted Level Of Service</t>
  </si>
  <si>
    <t>Percent Flat Floor Parking (60%)</t>
  </si>
  <si>
    <t>Floor to Floor Height (40%)</t>
  </si>
  <si>
    <t>Baseline Wayfinding Level Of Service Score</t>
  </si>
  <si>
    <t>Baseline Wayfinding Level of Service Grade</t>
  </si>
  <si>
    <t>Wayfinding Score Enhancements/Reductions</t>
  </si>
  <si>
    <t>Single Space Detection System? (5%)</t>
  </si>
  <si>
    <t>Level Count System? (3%)</t>
  </si>
  <si>
    <t>Facility Count System? (2%)</t>
  </si>
  <si>
    <t>Ramp Aligned with Entry/Exit (1%)</t>
  </si>
  <si>
    <t>Contiguous Flat Floor Parking? Both CIP &amp; Precast (3%)</t>
  </si>
  <si>
    <t>Precast/CIP</t>
  </si>
  <si>
    <t>CIP : Cable Rails (+1%) or  Walls (0%)?</t>
  </si>
  <si>
    <t>Precast : Shear Wall Location - Exterior(+1%)/Interior(-1%)/End Bays(-2%)?</t>
  </si>
  <si>
    <t>Lighting Levels</t>
  </si>
  <si>
    <t>TBD</t>
  </si>
  <si>
    <t>LOS Scale on Lighting</t>
  </si>
  <si>
    <t>Total Wayfinding Enhancement/Reduction Percentage</t>
  </si>
  <si>
    <t>Total Wayfinding Level of Service Score with Enhancements</t>
  </si>
  <si>
    <t>Overall Wayfinding Level of Service Grade with Enhancements</t>
  </si>
  <si>
    <t>Criteria</t>
  </si>
  <si>
    <t>LOS</t>
  </si>
  <si>
    <t>Poor (Not Recommended)</t>
  </si>
  <si>
    <t>F</t>
  </si>
  <si>
    <t>Fair</t>
  </si>
  <si>
    <t>D</t>
  </si>
  <si>
    <t>Acceptable</t>
  </si>
  <si>
    <t>C</t>
  </si>
  <si>
    <t>Good</t>
  </si>
  <si>
    <t>B</t>
  </si>
  <si>
    <t>Excellent</t>
  </si>
  <si>
    <t>A</t>
  </si>
  <si>
    <t>Peak Load Factor</t>
  </si>
  <si>
    <t>Peak Load Factor by Use Type</t>
  </si>
  <si>
    <t>Peak AM</t>
  </si>
  <si>
    <t>Peak PM</t>
  </si>
  <si>
    <t>In</t>
  </si>
  <si>
    <t>Out</t>
  </si>
  <si>
    <t xml:space="preserve">In </t>
  </si>
  <si>
    <t>Residential</t>
  </si>
  <si>
    <t>Hotel</t>
  </si>
  <si>
    <t>Office</t>
  </si>
  <si>
    <t>Retail</t>
  </si>
  <si>
    <t>Restaurant</t>
  </si>
  <si>
    <t>Cinema</t>
  </si>
  <si>
    <t>Special Event</t>
  </si>
  <si>
    <t>Hospital Visitor</t>
  </si>
  <si>
    <t>Hospital Employee</t>
  </si>
  <si>
    <t>Hospital Outpatient</t>
  </si>
  <si>
    <t>Hospital Mixed</t>
  </si>
  <si>
    <t>WEIGHTED FORMULA</t>
  </si>
  <si>
    <t>University Students</t>
  </si>
  <si>
    <t>University Staff</t>
  </si>
  <si>
    <t>University Faculty</t>
  </si>
  <si>
    <t>University Mixed</t>
  </si>
  <si>
    <t>Mixed Use</t>
  </si>
  <si>
    <t>Fill In (Situational)</t>
  </si>
  <si>
    <t>Fill In Manually</t>
  </si>
  <si>
    <t>Percent of Maximum Capacity</t>
  </si>
  <si>
    <t>100%+</t>
  </si>
  <si>
    <t>90%-99%</t>
  </si>
  <si>
    <t>75% to 89%</t>
  </si>
  <si>
    <t>60%-75%</t>
  </si>
  <si>
    <t>&lt;59%</t>
  </si>
  <si>
    <t>Midpoint of Range</t>
  </si>
  <si>
    <t>Poor</t>
  </si>
  <si>
    <t>Max Capacity (vph)</t>
  </si>
  <si>
    <t>Single Threaded Helix - 2  Way</t>
  </si>
  <si>
    <t>&gt;450</t>
  </si>
  <si>
    <t>405 to 450</t>
  </si>
  <si>
    <t>340 to 405</t>
  </si>
  <si>
    <t>270 to 340</t>
  </si>
  <si>
    <t>&lt;270</t>
  </si>
  <si>
    <t>Double Threaded Helix - 1  Way</t>
  </si>
  <si>
    <t>&gt;800</t>
  </si>
  <si>
    <t>720 to 800</t>
  </si>
  <si>
    <t>600 to 720</t>
  </si>
  <si>
    <t>480 to 600</t>
  </si>
  <si>
    <t>&lt;480</t>
  </si>
  <si>
    <t>&gt;900</t>
  </si>
  <si>
    <t>810 to 900</t>
  </si>
  <si>
    <t>675 to 810</t>
  </si>
  <si>
    <t>540 to 675</t>
  </si>
  <si>
    <t>&lt;540</t>
  </si>
  <si>
    <t>Express Ramp Straight</t>
  </si>
  <si>
    <t>&gt;1000</t>
  </si>
  <si>
    <t>900 to 1000</t>
  </si>
  <si>
    <t>750 to 900</t>
  </si>
  <si>
    <t>600 to 750</t>
  </si>
  <si>
    <t>&lt;600</t>
  </si>
  <si>
    <t>Cascading Express Ramp (2 Fl Cut)</t>
  </si>
  <si>
    <t>&gt;1500</t>
  </si>
  <si>
    <t>1,350 to 1,500</t>
  </si>
  <si>
    <t>1,125 to 1,350</t>
  </si>
  <si>
    <t>900 to 1,125</t>
  </si>
  <si>
    <t>&lt;900</t>
  </si>
  <si>
    <t>Cascading Express Ramp (3 Fl Cut)</t>
  </si>
  <si>
    <t>&gt;2250</t>
  </si>
  <si>
    <t>2,025 to 2,250</t>
  </si>
  <si>
    <t>1,690 to 2,025</t>
  </si>
  <si>
    <t>1,350 to 1,690</t>
  </si>
  <si>
    <t>&lt;1,350</t>
  </si>
  <si>
    <t>Cascading Stacked Express Ramp (2 Fl Cut)</t>
  </si>
  <si>
    <t>&gt;2000</t>
  </si>
  <si>
    <t>1,800 to 2,000</t>
  </si>
  <si>
    <t>1,500 to 1,800</t>
  </si>
  <si>
    <t>1,200 to 1,500</t>
  </si>
  <si>
    <t>&lt;1,200</t>
  </si>
  <si>
    <t>Express Ramp Circular</t>
  </si>
  <si>
    <t>RAMPING CAPACITY - (VPH) LOS</t>
  </si>
  <si>
    <t>RAMPING CAPACITY SCHOOL GRADE</t>
  </si>
  <si>
    <t>LOS CONVERSION FOR RAMP UTILIZATION</t>
  </si>
  <si>
    <t>X</t>
  </si>
  <si>
    <t>X1</t>
  </si>
  <si>
    <t>X2</t>
  </si>
  <si>
    <t>Y1</t>
  </si>
  <si>
    <t>Y2</t>
  </si>
  <si>
    <t>Linear Interpolation</t>
  </si>
  <si>
    <t>NUMERICAL SCORE EQUIVALENT</t>
  </si>
  <si>
    <t xml:space="preserve">LOS Grade Scale </t>
  </si>
  <si>
    <t>360 DEG REVOLUTIONS</t>
  </si>
  <si>
    <t>SCHOOL GRADE</t>
  </si>
  <si>
    <t>LOS A</t>
  </si>
  <si>
    <t>LOS A+</t>
  </si>
  <si>
    <t xml:space="preserve">LOS A </t>
  </si>
  <si>
    <t>LOS A-</t>
  </si>
  <si>
    <t>LOS B</t>
  </si>
  <si>
    <t>LOS B+</t>
  </si>
  <si>
    <t xml:space="preserve">LOS B </t>
  </si>
  <si>
    <t>LOS B-</t>
  </si>
  <si>
    <t>LOS C</t>
  </si>
  <si>
    <t>LOS C+</t>
  </si>
  <si>
    <t xml:space="preserve">LOS C </t>
  </si>
  <si>
    <t>LOS C-</t>
  </si>
  <si>
    <t>LOS D</t>
  </si>
  <si>
    <t>LOS D+</t>
  </si>
  <si>
    <t xml:space="preserve">LOS D </t>
  </si>
  <si>
    <t>LOS D-</t>
  </si>
  <si>
    <t>LOS F</t>
  </si>
  <si>
    <t>F+ Not Recommended</t>
  </si>
  <si>
    <t>F Not Recommended</t>
  </si>
  <si>
    <t>NUMBER OF 360 DEGREE REVOLUTIONS</t>
  </si>
  <si>
    <t>EXPRESS RAMP % GRADE</t>
  </si>
  <si>
    <t>LA HAS IT'S OWN RAMP GRADE TABLE. CALCULATOR SHOULD BE FLEXIBLE ON CA vs REST OF COUNTRY.</t>
  </si>
  <si>
    <t>Drop Down Lists</t>
  </si>
  <si>
    <t>Construction Type</t>
  </si>
  <si>
    <t>One-Way</t>
  </si>
  <si>
    <t>Cast-In-Place</t>
  </si>
  <si>
    <t>PARK-ON-RAMP % GRADE</t>
  </si>
  <si>
    <r>
      <t>90</t>
    </r>
    <r>
      <rPr>
        <sz val="11"/>
        <color theme="1"/>
        <rFont val="Calibri"/>
        <family val="2"/>
      </rPr>
      <t>°</t>
    </r>
  </si>
  <si>
    <t>62'</t>
  </si>
  <si>
    <t>60'</t>
  </si>
  <si>
    <t>59'</t>
  </si>
  <si>
    <t>75°</t>
  </si>
  <si>
    <t>58'</t>
  </si>
  <si>
    <t>57'</t>
  </si>
  <si>
    <t>56'</t>
  </si>
  <si>
    <t>70°</t>
  </si>
  <si>
    <t>55'</t>
  </si>
  <si>
    <t>65°</t>
  </si>
  <si>
    <t>56.5'</t>
  </si>
  <si>
    <t>55.5'</t>
  </si>
  <si>
    <t>54.5'</t>
  </si>
  <si>
    <t>53.5'</t>
  </si>
  <si>
    <t>PERCENT GRADE LOS</t>
  </si>
  <si>
    <t>60°</t>
  </si>
  <si>
    <t>54'</t>
  </si>
  <si>
    <t>53'</t>
  </si>
  <si>
    <t>52'</t>
  </si>
  <si>
    <t>55°</t>
  </si>
  <si>
    <t>51'</t>
  </si>
  <si>
    <t>50'</t>
  </si>
  <si>
    <t>50°</t>
  </si>
  <si>
    <t>51.5'</t>
  </si>
  <si>
    <t>50.5'</t>
  </si>
  <si>
    <t>49.5'</t>
  </si>
  <si>
    <t>48.6'</t>
  </si>
  <si>
    <t>45°</t>
  </si>
  <si>
    <t>49'</t>
  </si>
  <si>
    <t>48'</t>
  </si>
  <si>
    <t>47'</t>
  </si>
  <si>
    <t>Parking Stall Width LOS</t>
  </si>
  <si>
    <t>Stall Width</t>
  </si>
  <si>
    <t>Grade (%)</t>
  </si>
  <si>
    <t>LOS Letter Grade</t>
  </si>
  <si>
    <t>10'-0"</t>
  </si>
  <si>
    <t>LOS A+, Inefficient. Check Stall Size to Match Vehicle Type. Is This Width Appropriate?</t>
  </si>
  <si>
    <t>9'-11"</t>
  </si>
  <si>
    <t>9'-10"</t>
  </si>
  <si>
    <t>9'-9"</t>
  </si>
  <si>
    <t>9'-8"</t>
  </si>
  <si>
    <t>9'-7</t>
  </si>
  <si>
    <t>9'-6"</t>
  </si>
  <si>
    <t>9'-5"</t>
  </si>
  <si>
    <t>9'-4"</t>
  </si>
  <si>
    <t>9'-3"</t>
  </si>
  <si>
    <t>9'-2"</t>
  </si>
  <si>
    <t>9'-1"</t>
  </si>
  <si>
    <t>8'-11"</t>
  </si>
  <si>
    <t>8'-10"</t>
  </si>
  <si>
    <t>8'-9"</t>
  </si>
  <si>
    <t>8'-8"</t>
  </si>
  <si>
    <t>8'-7"</t>
  </si>
  <si>
    <t>8'-6"</t>
  </si>
  <si>
    <t>8'-5"</t>
  </si>
  <si>
    <t>8'-4"</t>
  </si>
  <si>
    <t>8-3"</t>
  </si>
  <si>
    <t>8'-2"</t>
  </si>
  <si>
    <t>8'-1"</t>
  </si>
  <si>
    <t>LOS F (Not Recommended)</t>
  </si>
  <si>
    <t>END BAY GEOMETRY (TWO-WAY)</t>
  </si>
  <si>
    <t>LEVEL OF SERVICE GRADE</t>
  </si>
  <si>
    <t>A+, Consider Reducing to Optimize Efficiency</t>
  </si>
  <si>
    <t>A+</t>
  </si>
  <si>
    <t>A-</t>
  </si>
  <si>
    <t>B+</t>
  </si>
  <si>
    <t xml:space="preserve">B </t>
  </si>
  <si>
    <t>B-</t>
  </si>
  <si>
    <t>C+</t>
  </si>
  <si>
    <t xml:space="preserve">C </t>
  </si>
  <si>
    <t>C-</t>
  </si>
  <si>
    <t>D+</t>
  </si>
  <si>
    <t xml:space="preserve">D </t>
  </si>
  <si>
    <t>D-</t>
  </si>
  <si>
    <t>END BAY GEOMETRY (ONE-WAY)</t>
  </si>
  <si>
    <t>PERCENT OF FLAT FLOOR PARKING</t>
  </si>
  <si>
    <t>PERCENT OF FLAT FLOOR PARKING LOS</t>
  </si>
  <si>
    <t>FLOOR-TO-FLOOR HEIGHT LOS</t>
  </si>
  <si>
    <t>12'-0" (9'-0" CLR) +</t>
  </si>
  <si>
    <t>11'-11" (8'-11" CLR)</t>
  </si>
  <si>
    <t>11'-10" (8'-10" CLR)</t>
  </si>
  <si>
    <t>11'-9" (8'-9" CLR)</t>
  </si>
  <si>
    <t>11'-8" (8'-8" CLR)</t>
  </si>
  <si>
    <t>11'-7" (8'-7" CLR)</t>
  </si>
  <si>
    <t>11'-6" (8'-6" CLR)</t>
  </si>
  <si>
    <t>11'-5" (8'-5" CLR)</t>
  </si>
  <si>
    <t>11'-4" (8'-4" CLR)</t>
  </si>
  <si>
    <t>11'-3" (8'-3" CLR)</t>
  </si>
  <si>
    <t>11'-2" (8'-2" CLR)</t>
  </si>
  <si>
    <t>11'-1" (8'-1" CLR)</t>
  </si>
  <si>
    <t>11'-0" (8'-0" CLR)</t>
  </si>
  <si>
    <t>10'-11" (7'-11" CLR)</t>
  </si>
  <si>
    <t>10'-10" (7'-10" CLR)</t>
  </si>
  <si>
    <t>10'-9" (7'-9" CLR)</t>
  </si>
  <si>
    <t>10'-8" (7'-8" CLR)</t>
  </si>
  <si>
    <t>Drop Down List</t>
  </si>
  <si>
    <t>10'-7" (7'-7" CLR)</t>
  </si>
  <si>
    <t>Not CIP</t>
  </si>
  <si>
    <t>10'-5" (7'-5" CLR)</t>
  </si>
  <si>
    <t>Walls</t>
  </si>
  <si>
    <t>10'-4" (7'-4" CLR)</t>
  </si>
  <si>
    <t>Not Precast</t>
  </si>
  <si>
    <t>10'-3" (7'-3" CLR)</t>
  </si>
  <si>
    <t>Interior</t>
  </si>
  <si>
    <t>10'-2" (7'-2" CLR)</t>
  </si>
  <si>
    <t>Exterior</t>
  </si>
  <si>
    <t>Facility Count System</t>
  </si>
  <si>
    <t>10'-1" (7'-1" CLR)</t>
  </si>
  <si>
    <t>LOS D (Recommend 7'-2")</t>
  </si>
  <si>
    <t>Level Count System</t>
  </si>
  <si>
    <t>10'-0" (7'-0" CLR)</t>
  </si>
  <si>
    <t>LOS D (Code Minimum) Recommend 7'-2"</t>
  </si>
  <si>
    <t>Single Space Detection System</t>
  </si>
  <si>
    <t xml:space="preserve">TRUE </t>
  </si>
  <si>
    <t>Up Circuit VS Down Circuit - Spaces Passed</t>
  </si>
  <si>
    <t>Circuit</t>
  </si>
  <si>
    <t>Up &gt; Down?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</si>
</sst>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00B0F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FF0000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theme="0" tint="-0.24994659260841701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theme="0" tint="-0.24994659260841701"/>
      </bottom>
      <diagonal/>
    </border>
    <border>
      <left/>
      <right/>
      <top style="medium">
        <color indexed="64"/>
      </top>
      <bottom style="thin">
        <color theme="0" tint="-0.24994659260841701"/>
      </bottom>
      <diagonal/>
    </border>
    <border>
      <left/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indexed="64"/>
      </bottom>
      <diagonal/>
    </border>
    <border>
      <left/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indexed="64"/>
      </left>
      <right/>
      <top style="thin">
        <color theme="0" tint="-0.2499465926084170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theme="0" tint="-0.24994659260841701"/>
      </bottom>
      <diagonal/>
    </border>
    <border>
      <left/>
      <right style="medium">
        <color indexed="64"/>
      </right>
      <top style="medium">
        <color indexed="64"/>
      </top>
      <bottom style="medium">
        <color theme="0" tint="-0.24994659260841701"/>
      </bottom>
      <diagonal/>
    </border>
    <border>
      <left style="medium">
        <color indexed="64"/>
      </left>
      <right/>
      <top style="medium">
        <color theme="0" tint="-0.24994659260841701"/>
      </top>
      <bottom style="medium">
        <color theme="0" tint="-0.24994659260841701"/>
      </bottom>
      <diagonal/>
    </border>
    <border>
      <left/>
      <right style="medium">
        <color indexed="64"/>
      </right>
      <top style="medium">
        <color theme="0" tint="-0.24994659260841701"/>
      </top>
      <bottom style="medium">
        <color theme="0" tint="-0.24994659260841701"/>
      </bottom>
      <diagonal/>
    </border>
    <border>
      <left style="medium">
        <color indexed="64"/>
      </left>
      <right/>
      <top style="medium">
        <color theme="0" tint="-0.24994659260841701"/>
      </top>
      <bottom style="medium">
        <color indexed="64"/>
      </bottom>
      <diagonal/>
    </border>
    <border>
      <left/>
      <right style="medium">
        <color indexed="64"/>
      </right>
      <top style="medium">
        <color theme="0" tint="-0.2499465926084170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medium">
        <color indexed="64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theme="0" tint="-0.2499465926084170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24994659260841701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theme="0" tint="-0.24994659260841701"/>
      </bottom>
      <diagonal/>
    </border>
    <border>
      <left/>
      <right style="thin">
        <color indexed="64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3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14" xfId="0" applyBorder="1" applyAlignment="1">
      <alignment horizontal="center" vertical="center" wrapText="1"/>
    </xf>
    <xf numFmtId="0" fontId="0" fillId="0" borderId="11" xfId="0" applyBorder="1" applyAlignment="1">
      <alignment vertical="center"/>
    </xf>
    <xf numFmtId="164" fontId="0" fillId="4" borderId="1" xfId="0" applyNumberForma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13" xfId="0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10" fontId="0" fillId="0" borderId="0" xfId="1" applyNumberFormat="1" applyFont="1" applyFill="1" applyBorder="1" applyAlignment="1">
      <alignment horizont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164" fontId="0" fillId="0" borderId="23" xfId="0" applyNumberFormat="1" applyBorder="1" applyAlignment="1">
      <alignment horizontal="center" vertical="center"/>
    </xf>
    <xf numFmtId="164" fontId="0" fillId="0" borderId="24" xfId="0" applyNumberFormat="1" applyBorder="1" applyAlignment="1">
      <alignment horizontal="center" vertical="center"/>
    </xf>
    <xf numFmtId="0" fontId="0" fillId="0" borderId="11" xfId="0" applyBorder="1" applyAlignment="1">
      <alignment horizontal="right" vertical="center"/>
    </xf>
    <xf numFmtId="0" fontId="0" fillId="4" borderId="8" xfId="0" applyFill="1" applyBorder="1" applyAlignment="1">
      <alignment vertical="center"/>
    </xf>
    <xf numFmtId="10" fontId="0" fillId="0" borderId="0" xfId="1" applyNumberFormat="1" applyFont="1" applyFill="1" applyBorder="1" applyAlignment="1">
      <alignment horizontal="left"/>
    </xf>
    <xf numFmtId="0" fontId="0" fillId="4" borderId="1" xfId="0" applyFill="1" applyBorder="1" applyAlignment="1">
      <alignment horizontal="center" vertical="center"/>
    </xf>
    <xf numFmtId="2" fontId="0" fillId="0" borderId="2" xfId="1" applyNumberFormat="1" applyFont="1" applyBorder="1" applyAlignment="1">
      <alignment horizontal="center" vertical="center"/>
    </xf>
    <xf numFmtId="2" fontId="0" fillId="0" borderId="4" xfId="1" applyNumberFormat="1" applyFont="1" applyBorder="1" applyAlignment="1">
      <alignment horizontal="center" vertical="center"/>
    </xf>
    <xf numFmtId="164" fontId="0" fillId="4" borderId="8" xfId="0" applyNumberFormat="1" applyFill="1" applyBorder="1" applyAlignment="1">
      <alignment horizontal="center" vertical="center"/>
    </xf>
    <xf numFmtId="164" fontId="0" fillId="4" borderId="19" xfId="0" applyNumberFormat="1" applyFill="1" applyBorder="1" applyAlignment="1">
      <alignment horizontal="center" vertical="center"/>
    </xf>
    <xf numFmtId="10" fontId="0" fillId="0" borderId="13" xfId="1" applyNumberFormat="1" applyFont="1" applyBorder="1" applyAlignment="1">
      <alignment horizontal="center" vertical="center"/>
    </xf>
    <xf numFmtId="0" fontId="0" fillId="0" borderId="14" xfId="0" applyBorder="1" applyAlignment="1">
      <alignment vertical="center"/>
    </xf>
    <xf numFmtId="0" fontId="0" fillId="0" borderId="15" xfId="0" applyBorder="1" applyAlignment="1">
      <alignment vertical="center"/>
    </xf>
    <xf numFmtId="0" fontId="0" fillId="4" borderId="15" xfId="0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3" fontId="0" fillId="0" borderId="14" xfId="0" applyNumberFormat="1" applyBorder="1" applyAlignment="1">
      <alignment horizontal="center" vertical="center"/>
    </xf>
    <xf numFmtId="3" fontId="0" fillId="5" borderId="14" xfId="0" applyNumberFormat="1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0" borderId="11" xfId="0" applyBorder="1" applyAlignment="1">
      <alignment vertical="center" wrapText="1"/>
    </xf>
    <xf numFmtId="0" fontId="0" fillId="5" borderId="14" xfId="0" applyFill="1" applyBorder="1" applyAlignment="1">
      <alignment horizontal="center" vertical="center" wrapText="1"/>
    </xf>
    <xf numFmtId="164" fontId="0" fillId="5" borderId="1" xfId="0" applyNumberFormat="1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2" fontId="0" fillId="0" borderId="13" xfId="1" applyNumberFormat="1" applyFont="1" applyBorder="1" applyAlignment="1" applyProtection="1">
      <alignment horizontal="center" vertical="center"/>
    </xf>
    <xf numFmtId="2" fontId="0" fillId="5" borderId="13" xfId="1" applyNumberFormat="1" applyFont="1" applyFill="1" applyBorder="1" applyAlignment="1" applyProtection="1">
      <alignment horizontal="center" vertical="center"/>
    </xf>
    <xf numFmtId="0" fontId="0" fillId="5" borderId="15" xfId="1" applyNumberFormat="1" applyFont="1" applyFill="1" applyBorder="1" applyAlignment="1" applyProtection="1">
      <alignment horizontal="center" vertical="center"/>
    </xf>
    <xf numFmtId="164" fontId="0" fillId="4" borderId="13" xfId="0" applyNumberFormat="1" applyFill="1" applyBorder="1" applyAlignment="1">
      <alignment horizontal="center" vertical="center"/>
    </xf>
    <xf numFmtId="164" fontId="0" fillId="5" borderId="13" xfId="0" applyNumberFormat="1" applyFill="1" applyBorder="1" applyAlignment="1">
      <alignment horizontal="center" vertical="center"/>
    </xf>
    <xf numFmtId="164" fontId="0" fillId="0" borderId="14" xfId="0" applyNumberFormat="1" applyBorder="1" applyAlignment="1">
      <alignment horizontal="center" vertical="center"/>
    </xf>
    <xf numFmtId="164" fontId="0" fillId="0" borderId="15" xfId="0" applyNumberFormat="1" applyBorder="1" applyAlignment="1">
      <alignment horizontal="center" vertical="center"/>
    </xf>
    <xf numFmtId="164" fontId="0" fillId="0" borderId="27" xfId="0" applyNumberFormat="1" applyBorder="1" applyAlignment="1">
      <alignment horizontal="center" vertical="center"/>
    </xf>
    <xf numFmtId="0" fontId="0" fillId="0" borderId="0" xfId="0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 applyAlignment="1">
      <alignment horizontal="right" vertical="center" wrapText="1"/>
    </xf>
    <xf numFmtId="0" fontId="0" fillId="0" borderId="14" xfId="0" applyBorder="1" applyAlignment="1">
      <alignment horizontal="right" vertical="center"/>
    </xf>
    <xf numFmtId="0" fontId="0" fillId="0" borderId="14" xfId="0" applyBorder="1" applyAlignment="1">
      <alignment horizontal="left" vertical="center"/>
    </xf>
    <xf numFmtId="164" fontId="0" fillId="0" borderId="13" xfId="0" applyNumberFormat="1" applyBorder="1" applyAlignment="1">
      <alignment horizontal="center" vertical="center"/>
    </xf>
    <xf numFmtId="164" fontId="0" fillId="4" borderId="14" xfId="0" applyNumberFormat="1" applyFill="1" applyBorder="1" applyAlignment="1">
      <alignment horizontal="center" vertical="center"/>
    </xf>
    <xf numFmtId="0" fontId="0" fillId="0" borderId="13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10" fontId="0" fillId="0" borderId="0" xfId="1" applyNumberFormat="1" applyFont="1" applyFill="1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164" fontId="0" fillId="0" borderId="2" xfId="0" applyNumberFormat="1" applyBorder="1" applyAlignment="1">
      <alignment horizontal="center" vertical="center"/>
    </xf>
    <xf numFmtId="164" fontId="0" fillId="5" borderId="14" xfId="0" applyNumberFormat="1" applyFill="1" applyBorder="1" applyAlignment="1">
      <alignment horizontal="center" vertical="center"/>
    </xf>
    <xf numFmtId="0" fontId="0" fillId="0" borderId="9" xfId="0" applyBorder="1" applyAlignment="1">
      <alignment horizontal="left" vertical="center"/>
    </xf>
    <xf numFmtId="164" fontId="0" fillId="0" borderId="9" xfId="0" applyNumberForma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3" xfId="0" applyBorder="1" applyAlignment="1">
      <alignment vertical="center"/>
    </xf>
    <xf numFmtId="0" fontId="2" fillId="4" borderId="13" xfId="0" applyFont="1" applyFill="1" applyBorder="1" applyAlignment="1">
      <alignment horizontal="left" vertical="center"/>
    </xf>
    <xf numFmtId="0" fontId="2" fillId="4" borderId="15" xfId="0" applyFont="1" applyFill="1" applyBorder="1" applyAlignment="1">
      <alignment horizontal="left" vertical="center"/>
    </xf>
    <xf numFmtId="9" fontId="0" fillId="0" borderId="14" xfId="0" applyNumberFormat="1" applyBorder="1" applyAlignment="1">
      <alignment horizontal="center" vertical="center"/>
    </xf>
    <xf numFmtId="2" fontId="0" fillId="9" borderId="14" xfId="0" applyNumberFormat="1" applyFill="1" applyBorder="1" applyAlignment="1">
      <alignment horizontal="center" vertical="center"/>
    </xf>
    <xf numFmtId="2" fontId="0" fillId="2" borderId="14" xfId="0" applyNumberFormat="1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 wrapText="1"/>
    </xf>
    <xf numFmtId="0" fontId="0" fillId="7" borderId="15" xfId="0" applyFill="1" applyBorder="1" applyAlignment="1">
      <alignment horizontal="center" vertical="center" wrapText="1"/>
    </xf>
    <xf numFmtId="2" fontId="0" fillId="2" borderId="26" xfId="0" applyNumberFormat="1" applyFill="1" applyBorder="1" applyAlignment="1">
      <alignment horizontal="center" vertical="center"/>
    </xf>
    <xf numFmtId="2" fontId="0" fillId="6" borderId="26" xfId="0" applyNumberFormat="1" applyFill="1" applyBorder="1" applyAlignment="1">
      <alignment horizontal="center" vertical="center"/>
    </xf>
    <xf numFmtId="1" fontId="0" fillId="0" borderId="14" xfId="0" applyNumberFormat="1" applyBorder="1" applyAlignment="1">
      <alignment horizontal="center" vertical="center"/>
    </xf>
    <xf numFmtId="1" fontId="0" fillId="5" borderId="14" xfId="0" applyNumberFormat="1" applyFill="1" applyBorder="1" applyAlignment="1">
      <alignment horizontal="center" vertical="center"/>
    </xf>
    <xf numFmtId="165" fontId="0" fillId="0" borderId="14" xfId="1" applyNumberFormat="1" applyFont="1" applyBorder="1" applyAlignment="1" applyProtection="1">
      <alignment horizontal="center" vertical="center"/>
    </xf>
    <xf numFmtId="165" fontId="0" fillId="5" borderId="14" xfId="1" applyNumberFormat="1" applyFont="1" applyFill="1" applyBorder="1" applyAlignment="1" applyProtection="1">
      <alignment horizontal="center" vertical="center"/>
    </xf>
    <xf numFmtId="0" fontId="0" fillId="0" borderId="13" xfId="0" applyBorder="1" applyAlignment="1">
      <alignment vertical="center"/>
    </xf>
    <xf numFmtId="0" fontId="0" fillId="3" borderId="1" xfId="0" applyFill="1" applyBorder="1" applyAlignment="1">
      <alignment horizontal="center" vertical="center"/>
    </xf>
    <xf numFmtId="9" fontId="0" fillId="0" borderId="14" xfId="1" applyFont="1" applyBorder="1" applyAlignment="1">
      <alignment horizontal="center" vertical="center"/>
    </xf>
    <xf numFmtId="9" fontId="0" fillId="3" borderId="14" xfId="1" applyFont="1" applyFill="1" applyBorder="1" applyAlignment="1">
      <alignment horizontal="center" vertical="center"/>
    </xf>
    <xf numFmtId="9" fontId="0" fillId="2" borderId="14" xfId="1" applyFont="1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  <xf numFmtId="0" fontId="0" fillId="9" borderId="14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 wrapText="1"/>
    </xf>
    <xf numFmtId="0" fontId="0" fillId="3" borderId="9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3" borderId="26" xfId="0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164" fontId="0" fillId="0" borderId="26" xfId="0" applyNumberFormat="1" applyBorder="1" applyAlignment="1">
      <alignment horizontal="center" vertical="center"/>
    </xf>
    <xf numFmtId="164" fontId="0" fillId="0" borderId="28" xfId="0" applyNumberFormat="1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3" borderId="23" xfId="0" applyFill="1" applyBorder="1" applyAlignment="1">
      <alignment horizontal="center" vertical="center"/>
    </xf>
    <xf numFmtId="164" fontId="0" fillId="3" borderId="23" xfId="0" applyNumberFormat="1" applyFill="1" applyBorder="1" applyAlignment="1">
      <alignment horizontal="center" vertical="center"/>
    </xf>
    <xf numFmtId="164" fontId="0" fillId="3" borderId="22" xfId="0" applyNumberFormat="1" applyFill="1" applyBorder="1" applyAlignment="1">
      <alignment horizontal="center" vertical="center"/>
    </xf>
    <xf numFmtId="0" fontId="0" fillId="3" borderId="28" xfId="0" applyFill="1" applyBorder="1" applyAlignment="1">
      <alignment horizontal="center" vertical="center"/>
    </xf>
    <xf numFmtId="164" fontId="0" fillId="3" borderId="28" xfId="0" applyNumberFormat="1" applyFill="1" applyBorder="1" applyAlignment="1">
      <alignment horizontal="center" vertical="center"/>
    </xf>
    <xf numFmtId="164" fontId="0" fillId="3" borderId="15" xfId="0" applyNumberFormat="1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9" borderId="28" xfId="0" applyFill="1" applyBorder="1" applyAlignment="1">
      <alignment horizontal="center" vertical="center"/>
    </xf>
    <xf numFmtId="0" fontId="0" fillId="9" borderId="26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 wrapText="1"/>
    </xf>
    <xf numFmtId="0" fontId="0" fillId="5" borderId="2" xfId="0" applyFill="1" applyBorder="1" applyAlignment="1">
      <alignment vertical="center"/>
    </xf>
    <xf numFmtId="0" fontId="0" fillId="5" borderId="5" xfId="0" applyFill="1" applyBorder="1" applyAlignment="1">
      <alignment vertical="center"/>
    </xf>
    <xf numFmtId="0" fontId="0" fillId="5" borderId="8" xfId="0" applyFill="1" applyBorder="1" applyAlignment="1">
      <alignment vertical="center"/>
    </xf>
    <xf numFmtId="0" fontId="2" fillId="5" borderId="13" xfId="0" applyFont="1" applyFill="1" applyBorder="1" applyAlignment="1">
      <alignment horizontal="left" vertical="center"/>
    </xf>
    <xf numFmtId="0" fontId="2" fillId="5" borderId="15" xfId="0" applyFont="1" applyFill="1" applyBorder="1" applyAlignment="1">
      <alignment horizontal="left" vertical="center"/>
    </xf>
    <xf numFmtId="0" fontId="0" fillId="4" borderId="13" xfId="0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 wrapText="1"/>
    </xf>
    <xf numFmtId="2" fontId="0" fillId="4" borderId="13" xfId="1" applyNumberFormat="1" applyFont="1" applyFill="1" applyBorder="1" applyAlignment="1">
      <alignment horizontal="center" vertical="center"/>
    </xf>
    <xf numFmtId="0" fontId="0" fillId="4" borderId="14" xfId="0" applyFill="1" applyBorder="1" applyAlignment="1">
      <alignment horizontal="center" vertical="center"/>
    </xf>
    <xf numFmtId="10" fontId="0" fillId="4" borderId="13" xfId="1" applyNumberFormat="1" applyFont="1" applyFill="1" applyBorder="1" applyAlignment="1">
      <alignment horizontal="center" vertical="center"/>
    </xf>
    <xf numFmtId="164" fontId="0" fillId="4" borderId="15" xfId="0" applyNumberFormat="1" applyFill="1" applyBorder="1" applyAlignment="1">
      <alignment horizontal="center" vertical="center"/>
    </xf>
    <xf numFmtId="0" fontId="0" fillId="10" borderId="13" xfId="0" applyFill="1" applyBorder="1" applyAlignment="1">
      <alignment horizontal="center" vertical="center"/>
    </xf>
    <xf numFmtId="0" fontId="0" fillId="10" borderId="15" xfId="0" applyFill="1" applyBorder="1" applyAlignment="1">
      <alignment horizontal="center" vertical="center"/>
    </xf>
    <xf numFmtId="0" fontId="0" fillId="10" borderId="8" xfId="0" applyFill="1" applyBorder="1" applyAlignment="1">
      <alignment vertical="center"/>
    </xf>
    <xf numFmtId="164" fontId="0" fillId="10" borderId="1" xfId="0" applyNumberFormat="1" applyFill="1" applyBorder="1" applyAlignment="1">
      <alignment horizontal="center" vertical="center"/>
    </xf>
    <xf numFmtId="164" fontId="0" fillId="10" borderId="13" xfId="0" applyNumberFormat="1" applyFill="1" applyBorder="1" applyAlignment="1">
      <alignment horizontal="center" vertical="center"/>
    </xf>
    <xf numFmtId="0" fontId="0" fillId="10" borderId="14" xfId="0" applyFill="1" applyBorder="1" applyAlignment="1">
      <alignment horizontal="center" vertical="center"/>
    </xf>
    <xf numFmtId="0" fontId="0" fillId="10" borderId="14" xfId="0" applyFill="1" applyBorder="1" applyAlignment="1">
      <alignment horizontal="center" vertical="center" wrapText="1"/>
    </xf>
    <xf numFmtId="164" fontId="0" fillId="10" borderId="15" xfId="0" applyNumberFormat="1" applyFill="1" applyBorder="1" applyAlignment="1">
      <alignment horizontal="center" vertical="center"/>
    </xf>
    <xf numFmtId="9" fontId="0" fillId="10" borderId="14" xfId="0" applyNumberFormat="1" applyFill="1" applyBorder="1" applyAlignment="1">
      <alignment horizontal="center" vertical="center"/>
    </xf>
    <xf numFmtId="9" fontId="0" fillId="10" borderId="15" xfId="0" applyNumberFormat="1" applyFill="1" applyBorder="1" applyAlignment="1">
      <alignment horizontal="center" vertical="center"/>
    </xf>
    <xf numFmtId="9" fontId="2" fillId="10" borderId="1" xfId="0" applyNumberFormat="1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left" vertical="center" wrapText="1"/>
    </xf>
    <xf numFmtId="0" fontId="2" fillId="11" borderId="13" xfId="0" applyFont="1" applyFill="1" applyBorder="1" applyAlignment="1">
      <alignment vertical="center"/>
    </xf>
    <xf numFmtId="0" fontId="0" fillId="11" borderId="1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 wrapText="1"/>
    </xf>
    <xf numFmtId="0" fontId="0" fillId="11" borderId="13" xfId="0" applyFill="1" applyBorder="1" applyAlignment="1">
      <alignment horizontal="right" vertical="center"/>
    </xf>
    <xf numFmtId="164" fontId="0" fillId="11" borderId="13" xfId="0" applyNumberFormat="1" applyFill="1" applyBorder="1" applyAlignment="1">
      <alignment horizontal="center"/>
    </xf>
    <xf numFmtId="0" fontId="0" fillId="11" borderId="15" xfId="0" applyFill="1" applyBorder="1" applyAlignment="1">
      <alignment horizontal="right" vertical="center" wrapText="1"/>
    </xf>
    <xf numFmtId="0" fontId="0" fillId="11" borderId="15" xfId="0" applyFill="1" applyBorder="1" applyAlignment="1">
      <alignment horizontal="center" vertical="center" wrapText="1"/>
    </xf>
    <xf numFmtId="0" fontId="6" fillId="11" borderId="13" xfId="0" applyFont="1" applyFill="1" applyBorder="1" applyAlignment="1">
      <alignment horizontal="center" vertical="center" wrapText="1"/>
    </xf>
    <xf numFmtId="2" fontId="0" fillId="9" borderId="26" xfId="0" applyNumberFormat="1" applyFill="1" applyBorder="1" applyAlignment="1">
      <alignment horizontal="center" vertical="center"/>
    </xf>
    <xf numFmtId="164" fontId="2" fillId="10" borderId="13" xfId="0" applyNumberFormat="1" applyFont="1" applyFill="1" applyBorder="1" applyAlignment="1">
      <alignment horizontal="center" vertical="center"/>
    </xf>
    <xf numFmtId="0" fontId="2" fillId="10" borderId="15" xfId="0" applyFont="1" applyFill="1" applyBorder="1" applyAlignment="1">
      <alignment horizontal="center" vertical="center"/>
    </xf>
    <xf numFmtId="0" fontId="0" fillId="10" borderId="13" xfId="0" applyFill="1" applyBorder="1" applyAlignment="1">
      <alignment horizontal="left" vertical="center"/>
    </xf>
    <xf numFmtId="0" fontId="0" fillId="10" borderId="15" xfId="0" applyFill="1" applyBorder="1" applyAlignment="1">
      <alignment horizontal="left" vertical="center"/>
    </xf>
    <xf numFmtId="164" fontId="2" fillId="3" borderId="5" xfId="0" applyNumberFormat="1" applyFont="1" applyFill="1" applyBorder="1" applyAlignment="1">
      <alignment horizontal="center" vertical="center"/>
    </xf>
    <xf numFmtId="2" fontId="2" fillId="3" borderId="5" xfId="0" applyNumberFormat="1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2" fillId="10" borderId="13" xfId="0" applyFont="1" applyFill="1" applyBorder="1" applyAlignment="1">
      <alignment vertical="center"/>
    </xf>
    <xf numFmtId="0" fontId="2" fillId="10" borderId="15" xfId="0" applyFont="1" applyFill="1" applyBorder="1" applyAlignment="1">
      <alignment vertical="center"/>
    </xf>
    <xf numFmtId="10" fontId="0" fillId="0" borderId="0" xfId="0" applyNumberFormat="1" applyAlignment="1">
      <alignment vertical="center"/>
    </xf>
    <xf numFmtId="0" fontId="0" fillId="10" borderId="1" xfId="0" applyFill="1" applyBorder="1" applyAlignment="1">
      <alignment horizontal="left" vertical="center"/>
    </xf>
    <xf numFmtId="0" fontId="0" fillId="10" borderId="1" xfId="0" applyFill="1" applyBorder="1" applyAlignment="1">
      <alignment horizontal="center" vertical="center"/>
    </xf>
    <xf numFmtId="10" fontId="0" fillId="0" borderId="0" xfId="1" applyNumberFormat="1" applyFont="1" applyFill="1" applyBorder="1" applyAlignment="1">
      <alignment horizontal="center" wrapText="1"/>
    </xf>
    <xf numFmtId="0" fontId="2" fillId="4" borderId="8" xfId="0" applyFont="1" applyFill="1" applyBorder="1" applyAlignment="1">
      <alignment vertical="center"/>
    </xf>
    <xf numFmtId="10" fontId="2" fillId="4" borderId="9" xfId="0" applyNumberFormat="1" applyFont="1" applyFill="1" applyBorder="1" applyAlignment="1">
      <alignment horizontal="center" vertical="center"/>
    </xf>
    <xf numFmtId="10" fontId="2" fillId="4" borderId="10" xfId="0" applyNumberFormat="1" applyFont="1" applyFill="1" applyBorder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12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4" borderId="13" xfId="0" applyFont="1" applyFill="1" applyBorder="1" applyAlignment="1">
      <alignment vertical="center"/>
    </xf>
    <xf numFmtId="164" fontId="2" fillId="4" borderId="13" xfId="0" applyNumberFormat="1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vertical="center"/>
    </xf>
    <xf numFmtId="0" fontId="2" fillId="4" borderId="15" xfId="0" applyFont="1" applyFill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0" fillId="0" borderId="8" xfId="0" applyBorder="1" applyAlignment="1">
      <alignment vertical="center"/>
    </xf>
    <xf numFmtId="164" fontId="0" fillId="0" borderId="10" xfId="0" applyNumberFormat="1" applyBorder="1" applyAlignment="1">
      <alignment horizontal="center" vertical="center"/>
    </xf>
    <xf numFmtId="9" fontId="0" fillId="0" borderId="13" xfId="0" applyNumberFormat="1" applyBorder="1" applyAlignment="1">
      <alignment horizontal="center" vertical="center"/>
    </xf>
    <xf numFmtId="9" fontId="0" fillId="0" borderId="15" xfId="0" applyNumberFormat="1" applyBorder="1" applyAlignment="1">
      <alignment horizontal="center" vertical="center"/>
    </xf>
    <xf numFmtId="0" fontId="0" fillId="0" borderId="14" xfId="0" applyBorder="1" applyAlignment="1">
      <alignment horizontal="left" vertical="center" wrapText="1"/>
    </xf>
    <xf numFmtId="9" fontId="0" fillId="2" borderId="14" xfId="0" applyNumberFormat="1" applyFill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0" fillId="0" borderId="4" xfId="0" applyBorder="1"/>
    <xf numFmtId="0" fontId="0" fillId="0" borderId="5" xfId="0" applyBorder="1" applyAlignment="1">
      <alignment vertical="center"/>
    </xf>
    <xf numFmtId="0" fontId="0" fillId="0" borderId="12" xfId="0" applyBorder="1"/>
    <xf numFmtId="0" fontId="0" fillId="0" borderId="0" xfId="0" applyAlignment="1">
      <alignment vertical="center" wrapText="1"/>
    </xf>
    <xf numFmtId="0" fontId="0" fillId="0" borderId="2" xfId="0" applyBorder="1"/>
    <xf numFmtId="0" fontId="0" fillId="0" borderId="11" xfId="0" applyBorder="1"/>
    <xf numFmtId="0" fontId="0" fillId="0" borderId="5" xfId="0" applyBorder="1"/>
    <xf numFmtId="0" fontId="10" fillId="0" borderId="0" xfId="0" applyFont="1" applyAlignment="1">
      <alignment horizontal="center" vertical="center"/>
    </xf>
    <xf numFmtId="9" fontId="10" fillId="0" borderId="15" xfId="1" applyFont="1" applyFill="1" applyBorder="1" applyAlignment="1">
      <alignment horizontal="center" vertical="center"/>
    </xf>
    <xf numFmtId="9" fontId="0" fillId="2" borderId="28" xfId="1" applyFont="1" applyFill="1" applyBorder="1" applyAlignment="1">
      <alignment horizontal="center" vertical="center"/>
    </xf>
    <xf numFmtId="9" fontId="10" fillId="3" borderId="26" xfId="1" applyFont="1" applyFill="1" applyBorder="1" applyAlignment="1">
      <alignment horizontal="center" vertical="center"/>
    </xf>
    <xf numFmtId="0" fontId="0" fillId="0" borderId="6" xfId="0" applyBorder="1"/>
    <xf numFmtId="9" fontId="3" fillId="0" borderId="12" xfId="0" applyNumberFormat="1" applyFont="1" applyBorder="1"/>
    <xf numFmtId="9" fontId="3" fillId="0" borderId="7" xfId="0" applyNumberFormat="1" applyFont="1" applyBorder="1"/>
    <xf numFmtId="0" fontId="0" fillId="0" borderId="9" xfId="0" applyBorder="1"/>
    <xf numFmtId="9" fontId="0" fillId="0" borderId="10" xfId="0" applyNumberFormat="1" applyBorder="1"/>
    <xf numFmtId="0" fontId="0" fillId="0" borderId="8" xfId="0" applyBorder="1"/>
    <xf numFmtId="0" fontId="0" fillId="5" borderId="32" xfId="0" applyFill="1" applyBorder="1" applyAlignment="1">
      <alignment vertical="center"/>
    </xf>
    <xf numFmtId="0" fontId="3" fillId="5" borderId="32" xfId="0" applyFont="1" applyFill="1" applyBorder="1" applyAlignment="1">
      <alignment horizontal="center" vertical="center"/>
    </xf>
    <xf numFmtId="0" fontId="0" fillId="0" borderId="33" xfId="0" applyBorder="1" applyAlignment="1">
      <alignment vertical="center"/>
    </xf>
    <xf numFmtId="3" fontId="3" fillId="0" borderId="33" xfId="0" applyNumberFormat="1" applyFont="1" applyBorder="1" applyAlignment="1">
      <alignment horizontal="center" vertical="center"/>
    </xf>
    <xf numFmtId="0" fontId="0" fillId="5" borderId="33" xfId="0" applyFill="1" applyBorder="1" applyAlignment="1">
      <alignment vertical="center"/>
    </xf>
    <xf numFmtId="0" fontId="3" fillId="5" borderId="33" xfId="0" applyFont="1" applyFill="1" applyBorder="1" applyAlignment="1">
      <alignment horizontal="center" vertical="center"/>
    </xf>
    <xf numFmtId="0" fontId="3" fillId="0" borderId="33" xfId="0" applyFont="1" applyBorder="1" applyAlignment="1">
      <alignment horizontal="center" vertical="center" wrapText="1"/>
    </xf>
    <xf numFmtId="2" fontId="3" fillId="5" borderId="33" xfId="0" applyNumberFormat="1" applyFont="1" applyFill="1" applyBorder="1" applyAlignment="1">
      <alignment horizontal="center" vertical="center"/>
    </xf>
    <xf numFmtId="164" fontId="3" fillId="0" borderId="33" xfId="0" applyNumberFormat="1" applyFont="1" applyBorder="1" applyAlignment="1">
      <alignment horizontal="center" vertical="center"/>
    </xf>
    <xf numFmtId="0" fontId="5" fillId="0" borderId="33" xfId="0" applyFont="1" applyBorder="1" applyAlignment="1">
      <alignment horizontal="left" vertical="center" wrapText="1"/>
    </xf>
    <xf numFmtId="0" fontId="3" fillId="0" borderId="33" xfId="0" applyFont="1" applyBorder="1" applyAlignment="1">
      <alignment horizontal="center" vertical="center"/>
    </xf>
    <xf numFmtId="0" fontId="0" fillId="4" borderId="33" xfId="0" applyFill="1" applyBorder="1" applyAlignment="1">
      <alignment vertical="center"/>
    </xf>
    <xf numFmtId="0" fontId="3" fillId="4" borderId="33" xfId="0" applyFont="1" applyFill="1" applyBorder="1" applyAlignment="1">
      <alignment horizontal="center" vertical="center"/>
    </xf>
    <xf numFmtId="2" fontId="3" fillId="0" borderId="33" xfId="0" applyNumberFormat="1" applyFont="1" applyBorder="1" applyAlignment="1">
      <alignment horizontal="center" vertical="center"/>
    </xf>
    <xf numFmtId="2" fontId="3" fillId="4" borderId="33" xfId="0" applyNumberFormat="1" applyFont="1" applyFill="1" applyBorder="1" applyAlignment="1">
      <alignment horizontal="center" vertical="center"/>
    </xf>
    <xf numFmtId="0" fontId="0" fillId="10" borderId="33" xfId="0" applyFill="1" applyBorder="1" applyAlignment="1">
      <alignment vertical="center"/>
    </xf>
    <xf numFmtId="0" fontId="3" fillId="10" borderId="33" xfId="0" applyFont="1" applyFill="1" applyBorder="1" applyAlignment="1">
      <alignment horizontal="center" vertical="center"/>
    </xf>
    <xf numFmtId="0" fontId="0" fillId="0" borderId="33" xfId="0" applyBorder="1" applyAlignment="1">
      <alignment horizontal="left" vertical="center"/>
    </xf>
    <xf numFmtId="0" fontId="0" fillId="10" borderId="33" xfId="0" applyFill="1" applyBorder="1" applyAlignment="1">
      <alignment horizontal="left" vertical="center"/>
    </xf>
    <xf numFmtId="0" fontId="0" fillId="0" borderId="34" xfId="0" applyBorder="1" applyAlignment="1">
      <alignment horizontal="left" vertical="center" wrapText="1"/>
    </xf>
    <xf numFmtId="0" fontId="3" fillId="0" borderId="34" xfId="0" applyFont="1" applyBorder="1" applyAlignment="1">
      <alignment horizontal="center" vertical="center"/>
    </xf>
    <xf numFmtId="0" fontId="0" fillId="5" borderId="35" xfId="0" applyFill="1" applyBorder="1" applyAlignment="1">
      <alignment vertical="center"/>
    </xf>
    <xf numFmtId="0" fontId="3" fillId="5" borderId="35" xfId="0" applyFont="1" applyFill="1" applyBorder="1" applyAlignment="1">
      <alignment horizontal="center" vertical="center"/>
    </xf>
    <xf numFmtId="0" fontId="0" fillId="0" borderId="32" xfId="0" applyBorder="1" applyAlignment="1">
      <alignment vertical="center"/>
    </xf>
    <xf numFmtId="0" fontId="3" fillId="0" borderId="32" xfId="0" applyFont="1" applyBorder="1" applyAlignment="1">
      <alignment horizontal="center" vertical="center"/>
    </xf>
    <xf numFmtId="0" fontId="0" fillId="10" borderId="36" xfId="0" applyFill="1" applyBorder="1" applyAlignment="1">
      <alignment vertical="center"/>
    </xf>
    <xf numFmtId="0" fontId="3" fillId="10" borderId="36" xfId="0" applyFont="1" applyFill="1" applyBorder="1" applyAlignment="1">
      <alignment horizontal="center" vertical="center"/>
    </xf>
    <xf numFmtId="0" fontId="0" fillId="4" borderId="34" xfId="0" applyFill="1" applyBorder="1" applyAlignment="1">
      <alignment vertical="center"/>
    </xf>
    <xf numFmtId="2" fontId="3" fillId="4" borderId="34" xfId="0" applyNumberFormat="1" applyFont="1" applyFill="1" applyBorder="1" applyAlignment="1">
      <alignment horizontal="center" vertical="center"/>
    </xf>
    <xf numFmtId="0" fontId="0" fillId="5" borderId="32" xfId="0" applyFill="1" applyBorder="1" applyAlignment="1">
      <alignment horizontal="right" vertical="center"/>
    </xf>
    <xf numFmtId="164" fontId="0" fillId="5" borderId="32" xfId="0" applyNumberFormat="1" applyFill="1" applyBorder="1" applyAlignment="1">
      <alignment horizontal="center" vertical="center"/>
    </xf>
    <xf numFmtId="0" fontId="0" fillId="4" borderId="33" xfId="0" applyFill="1" applyBorder="1" applyAlignment="1">
      <alignment horizontal="right" vertical="center"/>
    </xf>
    <xf numFmtId="164" fontId="0" fillId="4" borderId="33" xfId="0" applyNumberFormat="1" applyFill="1" applyBorder="1" applyAlignment="1">
      <alignment horizontal="center" vertical="center"/>
    </xf>
    <xf numFmtId="0" fontId="0" fillId="10" borderId="34" xfId="0" applyFill="1" applyBorder="1" applyAlignment="1">
      <alignment horizontal="right" vertical="center"/>
    </xf>
    <xf numFmtId="164" fontId="0" fillId="10" borderId="34" xfId="0" applyNumberFormat="1" applyFill="1" applyBorder="1" applyAlignment="1">
      <alignment horizontal="center" vertical="center"/>
    </xf>
    <xf numFmtId="2" fontId="0" fillId="7" borderId="11" xfId="0" applyNumberFormat="1" applyFill="1" applyBorder="1" applyAlignment="1">
      <alignment vertical="center" wrapText="1"/>
    </xf>
    <xf numFmtId="164" fontId="0" fillId="0" borderId="37" xfId="0" applyNumberFormat="1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164" fontId="0" fillId="3" borderId="39" xfId="0" applyNumberFormat="1" applyFill="1" applyBorder="1" applyAlignment="1">
      <alignment horizontal="center" vertical="center"/>
    </xf>
    <xf numFmtId="0" fontId="0" fillId="3" borderId="40" xfId="0" applyFill="1" applyBorder="1" applyAlignment="1">
      <alignment horizontal="center" vertical="center"/>
    </xf>
    <xf numFmtId="164" fontId="0" fillId="0" borderId="39" xfId="0" applyNumberFormat="1" applyBorder="1" applyAlignment="1">
      <alignment horizontal="center" vertical="center"/>
    </xf>
    <xf numFmtId="0" fontId="0" fillId="0" borderId="40" xfId="0" applyBorder="1" applyAlignment="1">
      <alignment horizontal="center" vertical="center"/>
    </xf>
    <xf numFmtId="164" fontId="0" fillId="0" borderId="41" xfId="0" applyNumberFormat="1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164" fontId="0" fillId="0" borderId="43" xfId="0" applyNumberFormat="1" applyBorder="1" applyAlignment="1">
      <alignment horizontal="center" vertical="center"/>
    </xf>
    <xf numFmtId="164" fontId="0" fillId="0" borderId="38" xfId="0" applyNumberFormat="1" applyBorder="1" applyAlignment="1">
      <alignment horizontal="center" vertical="center"/>
    </xf>
    <xf numFmtId="164" fontId="0" fillId="3" borderId="44" xfId="0" applyNumberFormat="1" applyFill="1" applyBorder="1" applyAlignment="1">
      <alignment horizontal="center" vertical="center"/>
    </xf>
    <xf numFmtId="164" fontId="0" fillId="3" borderId="40" xfId="0" applyNumberFormat="1" applyFill="1" applyBorder="1" applyAlignment="1">
      <alignment horizontal="center" vertical="center"/>
    </xf>
    <xf numFmtId="164" fontId="0" fillId="0" borderId="44" xfId="0" applyNumberFormat="1" applyBorder="1" applyAlignment="1">
      <alignment horizontal="center" vertical="center"/>
    </xf>
    <xf numFmtId="164" fontId="0" fillId="0" borderId="40" xfId="0" applyNumberFormat="1" applyBorder="1" applyAlignment="1">
      <alignment horizontal="center" vertical="center"/>
    </xf>
    <xf numFmtId="164" fontId="0" fillId="0" borderId="45" xfId="0" applyNumberFormat="1" applyBorder="1" applyAlignment="1">
      <alignment horizontal="center" vertical="center"/>
    </xf>
    <xf numFmtId="164" fontId="0" fillId="0" borderId="4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2" fontId="0" fillId="0" borderId="38" xfId="0" applyNumberFormat="1" applyBorder="1" applyAlignment="1">
      <alignment horizontal="center" vertical="center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164" fontId="0" fillId="0" borderId="32" xfId="0" applyNumberFormat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3" borderId="44" xfId="0" applyFill="1" applyBorder="1" applyAlignment="1">
      <alignment horizontal="center" vertical="center"/>
    </xf>
    <xf numFmtId="0" fontId="0" fillId="3" borderId="45" xfId="0" applyFill="1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2" fontId="0" fillId="0" borderId="44" xfId="0" applyNumberFormat="1" applyBorder="1" applyAlignment="1">
      <alignment horizontal="center" vertical="center"/>
    </xf>
    <xf numFmtId="2" fontId="0" fillId="0" borderId="39" xfId="0" applyNumberFormat="1" applyBorder="1" applyAlignment="1">
      <alignment horizontal="center" vertical="center"/>
    </xf>
    <xf numFmtId="2" fontId="0" fillId="0" borderId="40" xfId="0" applyNumberFormat="1" applyBorder="1" applyAlignment="1">
      <alignment horizontal="center" vertical="center"/>
    </xf>
    <xf numFmtId="2" fontId="0" fillId="3" borderId="44" xfId="0" applyNumberFormat="1" applyFill="1" applyBorder="1" applyAlignment="1">
      <alignment horizontal="center" vertical="center"/>
    </xf>
    <xf numFmtId="2" fontId="0" fillId="3" borderId="39" xfId="0" applyNumberFormat="1" applyFill="1" applyBorder="1" applyAlignment="1">
      <alignment horizontal="center" vertical="center"/>
    </xf>
    <xf numFmtId="2" fontId="0" fillId="3" borderId="40" xfId="0" applyNumberFormat="1" applyFill="1" applyBorder="1" applyAlignment="1">
      <alignment horizontal="center" vertical="center"/>
    </xf>
    <xf numFmtId="2" fontId="0" fillId="0" borderId="45" xfId="0" applyNumberFormat="1" applyBorder="1" applyAlignment="1">
      <alignment horizontal="center" vertical="center"/>
    </xf>
    <xf numFmtId="2" fontId="0" fillId="0" borderId="41" xfId="0" applyNumberFormat="1" applyBorder="1" applyAlignment="1">
      <alignment horizontal="center" vertical="center"/>
    </xf>
    <xf numFmtId="2" fontId="0" fillId="0" borderId="42" xfId="0" applyNumberFormat="1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2" fontId="0" fillId="0" borderId="47" xfId="0" applyNumberFormat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2" fontId="0" fillId="0" borderId="49" xfId="0" applyNumberFormat="1" applyBorder="1" applyAlignment="1">
      <alignment horizontal="center" vertical="center"/>
    </xf>
    <xf numFmtId="0" fontId="0" fillId="0" borderId="50" xfId="0" applyBorder="1" applyAlignment="1">
      <alignment horizontal="center" vertical="center"/>
    </xf>
    <xf numFmtId="2" fontId="0" fillId="0" borderId="51" xfId="0" applyNumberFormat="1" applyBorder="1" applyAlignment="1">
      <alignment horizontal="center" vertical="center"/>
    </xf>
    <xf numFmtId="2" fontId="0" fillId="0" borderId="52" xfId="0" applyNumberFormat="1" applyBorder="1" applyAlignment="1">
      <alignment horizontal="center" vertical="center"/>
    </xf>
    <xf numFmtId="164" fontId="0" fillId="0" borderId="53" xfId="0" applyNumberFormat="1" applyBorder="1" applyAlignment="1">
      <alignment horizontal="center" vertical="center"/>
    </xf>
    <xf numFmtId="164" fontId="0" fillId="0" borderId="52" xfId="0" applyNumberFormat="1" applyBorder="1" applyAlignment="1">
      <alignment horizontal="center" vertical="center"/>
    </xf>
    <xf numFmtId="2" fontId="0" fillId="0" borderId="54" xfId="0" applyNumberFormat="1" applyBorder="1" applyAlignment="1">
      <alignment horizontal="center" vertical="center"/>
    </xf>
    <xf numFmtId="164" fontId="0" fillId="0" borderId="55" xfId="0" applyNumberFormat="1" applyBorder="1" applyAlignment="1">
      <alignment horizontal="center" vertical="center"/>
    </xf>
    <xf numFmtId="164" fontId="0" fillId="0" borderId="54" xfId="0" applyNumberFormat="1" applyBorder="1" applyAlignment="1">
      <alignment horizontal="center" vertical="center"/>
    </xf>
    <xf numFmtId="2" fontId="0" fillId="3" borderId="54" xfId="0" applyNumberFormat="1" applyFill="1" applyBorder="1" applyAlignment="1">
      <alignment horizontal="center" vertical="center"/>
    </xf>
    <xf numFmtId="164" fontId="0" fillId="3" borderId="55" xfId="0" applyNumberFormat="1" applyFill="1" applyBorder="1" applyAlignment="1">
      <alignment horizontal="center" vertical="center"/>
    </xf>
    <xf numFmtId="164" fontId="0" fillId="3" borderId="54" xfId="0" applyNumberFormat="1" applyFill="1" applyBorder="1" applyAlignment="1">
      <alignment horizontal="center" vertical="center"/>
    </xf>
    <xf numFmtId="2" fontId="0" fillId="0" borderId="56" xfId="0" applyNumberFormat="1" applyBorder="1" applyAlignment="1">
      <alignment horizontal="center" vertical="center"/>
    </xf>
    <xf numFmtId="164" fontId="0" fillId="0" borderId="57" xfId="0" applyNumberFormat="1" applyBorder="1" applyAlignment="1">
      <alignment horizontal="center" vertical="center"/>
    </xf>
    <xf numFmtId="164" fontId="0" fillId="0" borderId="56" xfId="0" applyNumberFormat="1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52" xfId="0" applyBorder="1" applyAlignment="1">
      <alignment horizontal="center" vertical="center"/>
    </xf>
    <xf numFmtId="0" fontId="0" fillId="0" borderId="53" xfId="0" applyBorder="1" applyAlignment="1">
      <alignment horizontal="center" vertical="center"/>
    </xf>
    <xf numFmtId="2" fontId="0" fillId="0" borderId="59" xfId="0" applyNumberFormat="1" applyBorder="1" applyAlignment="1">
      <alignment horizontal="center" vertical="center"/>
    </xf>
    <xf numFmtId="0" fontId="0" fillId="0" borderId="36" xfId="0" applyBorder="1" applyAlignment="1">
      <alignment horizontal="center" vertical="center" wrapText="1" shrinkToFit="1"/>
    </xf>
    <xf numFmtId="164" fontId="3" fillId="2" borderId="36" xfId="0" applyNumberFormat="1" applyFont="1" applyFill="1" applyBorder="1" applyAlignment="1">
      <alignment horizontal="center" vertical="center"/>
    </xf>
    <xf numFmtId="0" fontId="0" fillId="0" borderId="33" xfId="0" applyBorder="1" applyAlignment="1">
      <alignment horizontal="center" vertical="center" wrapText="1" shrinkToFit="1"/>
    </xf>
    <xf numFmtId="164" fontId="3" fillId="2" borderId="33" xfId="0" applyNumberFormat="1" applyFont="1" applyFill="1" applyBorder="1" applyAlignment="1">
      <alignment horizontal="center" vertical="center"/>
    </xf>
    <xf numFmtId="0" fontId="0" fillId="0" borderId="34" xfId="0" applyBorder="1" applyAlignment="1">
      <alignment horizontal="center" vertical="center" wrapText="1" shrinkToFit="1"/>
    </xf>
    <xf numFmtId="164" fontId="3" fillId="0" borderId="34" xfId="0" applyNumberFormat="1" applyFont="1" applyBorder="1" applyAlignment="1">
      <alignment horizontal="center" vertical="center"/>
    </xf>
    <xf numFmtId="0" fontId="0" fillId="11" borderId="8" xfId="0" applyFill="1" applyBorder="1" applyAlignment="1">
      <alignment horizontal="center" vertical="center"/>
    </xf>
    <xf numFmtId="0" fontId="0" fillId="11" borderId="9" xfId="0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9" fillId="11" borderId="8" xfId="0" applyFont="1" applyFill="1" applyBorder="1" applyAlignment="1">
      <alignment horizontal="center" vertical="center"/>
    </xf>
    <xf numFmtId="0" fontId="9" fillId="11" borderId="9" xfId="0" applyFont="1" applyFill="1" applyBorder="1" applyAlignment="1">
      <alignment horizontal="center" vertical="center"/>
    </xf>
    <xf numFmtId="0" fontId="9" fillId="11" borderId="10" xfId="0" applyFont="1" applyFill="1" applyBorder="1" applyAlignment="1">
      <alignment horizontal="center" vertical="center"/>
    </xf>
    <xf numFmtId="0" fontId="0" fillId="5" borderId="11" xfId="0" applyFill="1" applyBorder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4" borderId="11" xfId="0" applyFill="1" applyBorder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10" borderId="11" xfId="0" applyFill="1" applyBorder="1" applyAlignment="1">
      <alignment horizontal="center" vertical="center"/>
    </xf>
    <xf numFmtId="0" fontId="0" fillId="10" borderId="0" xfId="0" applyFill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0" fillId="10" borderId="14" xfId="0" applyFill="1" applyBorder="1" applyAlignment="1">
      <alignment horizontal="center" vertical="center" textRotation="90"/>
    </xf>
    <xf numFmtId="0" fontId="0" fillId="10" borderId="15" xfId="0" applyFill="1" applyBorder="1" applyAlignment="1">
      <alignment horizontal="center" vertical="center" textRotation="90"/>
    </xf>
    <xf numFmtId="0" fontId="0" fillId="4" borderId="13" xfId="0" applyFill="1" applyBorder="1" applyAlignment="1">
      <alignment horizontal="center" vertical="center" textRotation="90"/>
    </xf>
    <xf numFmtId="0" fontId="0" fillId="4" borderId="14" xfId="0" applyFill="1" applyBorder="1" applyAlignment="1">
      <alignment horizontal="center" vertical="center" textRotation="90"/>
    </xf>
    <xf numFmtId="0" fontId="0" fillId="4" borderId="15" xfId="0" applyFill="1" applyBorder="1" applyAlignment="1">
      <alignment horizontal="center" vertical="center" textRotation="90"/>
    </xf>
    <xf numFmtId="2" fontId="0" fillId="7" borderId="0" xfId="0" applyNumberFormat="1" applyFill="1" applyAlignment="1">
      <alignment horizontal="center" vertical="center" wrapText="1"/>
    </xf>
    <xf numFmtId="0" fontId="2" fillId="0" borderId="6" xfId="0" applyFont="1" applyBorder="1" applyAlignment="1">
      <alignment horizontal="center" vertical="center"/>
    </xf>
    <xf numFmtId="0" fontId="8" fillId="11" borderId="8" xfId="0" applyFont="1" applyFill="1" applyBorder="1" applyAlignment="1">
      <alignment horizontal="center" vertical="center"/>
    </xf>
    <xf numFmtId="0" fontId="8" fillId="11" borderId="9" xfId="0" applyFont="1" applyFill="1" applyBorder="1" applyAlignment="1">
      <alignment horizontal="center" vertical="center"/>
    </xf>
    <xf numFmtId="0" fontId="8" fillId="11" borderId="10" xfId="0" applyFont="1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 textRotation="90"/>
    </xf>
    <xf numFmtId="0" fontId="0" fillId="5" borderId="14" xfId="0" applyFill="1" applyBorder="1" applyAlignment="1">
      <alignment horizontal="center" vertical="center" textRotation="90"/>
    </xf>
    <xf numFmtId="0" fontId="0" fillId="5" borderId="15" xfId="0" applyFill="1" applyBorder="1" applyAlignment="1">
      <alignment horizontal="center" vertical="center" textRotation="90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0" fillId="5" borderId="10" xfId="0" applyFill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 wrapText="1"/>
    </xf>
    <xf numFmtId="0" fontId="0" fillId="5" borderId="15" xfId="0" applyFill="1" applyBorder="1" applyAlignment="1">
      <alignment horizontal="center" vertical="center" wrapText="1"/>
    </xf>
    <xf numFmtId="0" fontId="0" fillId="5" borderId="8" xfId="0" applyFill="1" applyBorder="1" applyAlignment="1">
      <alignment horizontal="left" vertical="center"/>
    </xf>
    <xf numFmtId="0" fontId="0" fillId="5" borderId="9" xfId="0" applyFill="1" applyBorder="1" applyAlignment="1">
      <alignment horizontal="left" vertical="center"/>
    </xf>
    <xf numFmtId="0" fontId="0" fillId="5" borderId="10" xfId="0" applyFill="1" applyBorder="1" applyAlignment="1">
      <alignment horizontal="left" vertical="center"/>
    </xf>
    <xf numFmtId="0" fontId="2" fillId="4" borderId="8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0" fontId="0" fillId="4" borderId="13" xfId="0" applyFill="1" applyBorder="1" applyAlignment="1">
      <alignment horizontal="center" vertical="center" wrapText="1"/>
    </xf>
    <xf numFmtId="0" fontId="0" fillId="4" borderId="15" xfId="0" applyFill="1" applyBorder="1" applyAlignment="1">
      <alignment horizontal="center" vertical="center" wrapText="1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10" xfId="0" applyFill="1" applyBorder="1" applyAlignment="1">
      <alignment horizontal="center" vertical="center"/>
    </xf>
    <xf numFmtId="0" fontId="0" fillId="4" borderId="13" xfId="0" applyFill="1" applyBorder="1" applyAlignment="1">
      <alignment horizontal="left" vertical="center"/>
    </xf>
    <xf numFmtId="0" fontId="0" fillId="4" borderId="15" xfId="0" applyFill="1" applyBorder="1" applyAlignment="1">
      <alignment horizontal="left" vertical="center"/>
    </xf>
    <xf numFmtId="0" fontId="0" fillId="4" borderId="8" xfId="0" applyFill="1" applyBorder="1" applyAlignment="1">
      <alignment horizontal="left" vertical="center"/>
    </xf>
    <xf numFmtId="0" fontId="0" fillId="4" borderId="9" xfId="0" applyFill="1" applyBorder="1" applyAlignment="1">
      <alignment horizontal="left" vertical="center"/>
    </xf>
    <xf numFmtId="0" fontId="0" fillId="4" borderId="10" xfId="0" applyFill="1" applyBorder="1" applyAlignment="1">
      <alignment horizontal="left" vertical="center"/>
    </xf>
    <xf numFmtId="0" fontId="2" fillId="10" borderId="1" xfId="0" applyFont="1" applyFill="1" applyBorder="1" applyAlignment="1">
      <alignment horizontal="center" vertical="center"/>
    </xf>
    <xf numFmtId="0" fontId="2" fillId="10" borderId="8" xfId="0" applyFont="1" applyFill="1" applyBorder="1" applyAlignment="1">
      <alignment horizontal="center" vertical="center"/>
    </xf>
    <xf numFmtId="0" fontId="2" fillId="10" borderId="9" xfId="0" applyFont="1" applyFill="1" applyBorder="1" applyAlignment="1">
      <alignment horizontal="center" vertical="center"/>
    </xf>
    <xf numFmtId="0" fontId="2" fillId="10" borderId="1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0" borderId="13" xfId="0" applyFill="1" applyBorder="1" applyAlignment="1">
      <alignment horizontal="center" vertical="center" wrapText="1"/>
    </xf>
    <xf numFmtId="0" fontId="0" fillId="10" borderId="15" xfId="0" applyFill="1" applyBorder="1" applyAlignment="1">
      <alignment horizontal="center" vertical="center" wrapText="1"/>
    </xf>
    <xf numFmtId="0" fontId="0" fillId="10" borderId="13" xfId="0" applyFill="1" applyBorder="1" applyAlignment="1">
      <alignment horizontal="left" vertical="center"/>
    </xf>
    <xf numFmtId="0" fontId="0" fillId="10" borderId="15" xfId="0" applyFill="1" applyBorder="1" applyAlignment="1">
      <alignment horizontal="left" vertical="center"/>
    </xf>
    <xf numFmtId="0" fontId="0" fillId="9" borderId="25" xfId="0" applyFill="1" applyBorder="1" applyAlignment="1">
      <alignment horizontal="center" vertical="center"/>
    </xf>
    <xf numFmtId="0" fontId="0" fillId="9" borderId="11" xfId="0" applyFill="1" applyBorder="1" applyAlignment="1">
      <alignment horizontal="center" vertical="center"/>
    </xf>
    <xf numFmtId="0" fontId="0" fillId="9" borderId="3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7" borderId="25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7" borderId="30" xfId="0" applyFill="1" applyBorder="1" applyAlignment="1">
      <alignment horizontal="center" vertical="center"/>
    </xf>
    <xf numFmtId="0" fontId="0" fillId="8" borderId="11" xfId="0" applyFill="1" applyBorder="1" applyAlignment="1">
      <alignment horizontal="center" vertical="center"/>
    </xf>
    <xf numFmtId="0" fontId="0" fillId="8" borderId="5" xfId="0" applyFill="1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9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2" borderId="30" xfId="0" applyFill="1" applyBorder="1" applyAlignment="1">
      <alignment horizontal="center" vertical="center"/>
    </xf>
    <xf numFmtId="0" fontId="0" fillId="8" borderId="25" xfId="0" applyFill="1" applyBorder="1" applyAlignment="1">
      <alignment horizontal="center" vertical="center"/>
    </xf>
    <xf numFmtId="0" fontId="0" fillId="6" borderId="11" xfId="0" applyFill="1" applyBorder="1" applyAlignment="1">
      <alignment horizontal="center" vertical="center"/>
    </xf>
    <xf numFmtId="0" fontId="0" fillId="6" borderId="3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3" borderId="20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2" fontId="0" fillId="2" borderId="14" xfId="0" applyNumberFormat="1" applyFill="1" applyBorder="1" applyAlignment="1">
      <alignment horizontal="center" vertical="center"/>
    </xf>
    <xf numFmtId="2" fontId="0" fillId="7" borderId="13" xfId="0" applyNumberFormat="1" applyFill="1" applyBorder="1" applyAlignment="1">
      <alignment horizontal="center" vertical="center"/>
    </xf>
    <xf numFmtId="0" fontId="0" fillId="7" borderId="14" xfId="0" applyFill="1" applyBorder="1" applyAlignment="1">
      <alignment horizontal="center" vertical="center"/>
    </xf>
    <xf numFmtId="2" fontId="0" fillId="6" borderId="14" xfId="0" applyNumberFormat="1" applyFill="1" applyBorder="1" applyAlignment="1">
      <alignment horizontal="center" vertical="center"/>
    </xf>
    <xf numFmtId="0" fontId="0" fillId="8" borderId="14" xfId="0" applyFill="1" applyBorder="1" applyAlignment="1">
      <alignment horizontal="center" vertical="center"/>
    </xf>
    <xf numFmtId="0" fontId="0" fillId="8" borderId="15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7" borderId="28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0" fontId="0" fillId="9" borderId="28" xfId="0" applyFill="1" applyBorder="1" applyAlignment="1">
      <alignment horizontal="center" vertical="center"/>
    </xf>
    <xf numFmtId="0" fontId="0" fillId="9" borderId="26" xfId="0" applyFill="1" applyBorder="1" applyAlignment="1">
      <alignment horizontal="center" vertical="center"/>
    </xf>
    <xf numFmtId="2" fontId="0" fillId="7" borderId="15" xfId="0" applyNumberFormat="1" applyFill="1" applyBorder="1" applyAlignment="1">
      <alignment horizontal="center" vertical="center"/>
    </xf>
    <xf numFmtId="2" fontId="0" fillId="8" borderId="1" xfId="0" applyNumberFormat="1" applyFill="1" applyBorder="1" applyAlignment="1">
      <alignment horizontal="center" vertical="center"/>
    </xf>
    <xf numFmtId="2" fontId="0" fillId="9" borderId="13" xfId="0" applyNumberFormat="1" applyFill="1" applyBorder="1" applyAlignment="1">
      <alignment horizontal="center" vertical="center"/>
    </xf>
    <xf numFmtId="2" fontId="0" fillId="9" borderId="14" xfId="0" applyNumberFormat="1" applyFill="1" applyBorder="1" applyAlignment="1">
      <alignment horizontal="center" vertical="center"/>
    </xf>
    <xf numFmtId="2" fontId="0" fillId="2" borderId="13" xfId="0" applyNumberForma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9" borderId="14" xfId="0" applyFill="1" applyBorder="1" applyAlignment="1">
      <alignment horizontal="center" vertical="center"/>
    </xf>
    <xf numFmtId="2" fontId="0" fillId="6" borderId="14" xfId="0" applyNumberFormat="1" applyFill="1" applyBorder="1" applyAlignment="1">
      <alignment horizontal="center" vertical="center" wrapText="1"/>
    </xf>
    <xf numFmtId="2" fontId="0" fillId="6" borderId="13" xfId="0" applyNumberFormat="1" applyFill="1" applyBorder="1" applyAlignment="1">
      <alignment horizontal="center" vertical="center"/>
    </xf>
    <xf numFmtId="0" fontId="0" fillId="6" borderId="13" xfId="0" applyFill="1" applyBorder="1" applyAlignment="1">
      <alignment horizontal="center" vertical="center"/>
    </xf>
  </cellXfs>
  <cellStyles count="2">
    <cellStyle name="Normal" xfId="0" builtinId="0"/>
    <cellStyle name="Percent" xfId="1" builtinId="5"/>
  </cellStyles>
  <dxfs count="13">
    <dxf>
      <font>
        <color rgb="FFFF0000"/>
      </font>
      <fill>
        <patternFill patternType="none">
          <bgColor auto="1"/>
        </patternFill>
      </fill>
    </dxf>
    <dxf>
      <font>
        <b/>
        <i val="0"/>
        <color rgb="FFFF3300"/>
      </font>
      <fill>
        <patternFill>
          <bgColor rgb="FFFFFF00"/>
        </patternFill>
      </fill>
      <border>
        <left style="dashDot">
          <color rgb="FFFFC000"/>
        </left>
        <right style="dashDot">
          <color rgb="FFFFC000"/>
        </right>
        <top style="dashDot">
          <color rgb="FFFFC000"/>
        </top>
        <bottom style="dashDot">
          <color rgb="FFFFC000"/>
        </bottom>
        <vertical/>
        <horizontal/>
      </border>
    </dxf>
    <dxf>
      <font>
        <color rgb="FFC00000"/>
      </font>
      <fill>
        <patternFill>
          <bgColor rgb="FFFEB6B4"/>
        </patternFill>
      </fill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ont>
        <b/>
        <i val="0"/>
        <color theme="5" tint="-0.499984740745262"/>
      </font>
      <fill>
        <patternFill>
          <bgColor rgb="FF92D050"/>
        </patternFill>
      </fill>
      <border>
        <left style="dashDot">
          <color theme="5" tint="-0.499984740745262"/>
        </left>
        <right style="dashDot">
          <color theme="5" tint="-0.499984740745262"/>
        </right>
        <top style="dashDot">
          <color theme="5" tint="-0.499984740745262"/>
        </top>
        <bottom style="dashDot">
          <color theme="5" tint="-0.499984740745262"/>
        </bottom>
        <vertical/>
        <horizontal/>
      </border>
    </dxf>
    <dxf>
      <font>
        <color rgb="FFC00000"/>
      </font>
      <fill>
        <patternFill>
          <bgColor rgb="FFFEB6B4"/>
        </patternFill>
      </fill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ont>
        <color rgb="FFC00000"/>
      </font>
      <fill>
        <patternFill>
          <bgColor rgb="FFFEB6B4"/>
        </patternFill>
      </fill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ont>
        <color rgb="FFC00000"/>
      </font>
      <fill>
        <patternFill>
          <bgColor rgb="FFFEB6B4"/>
        </patternFill>
      </fill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ont>
        <color rgb="FFFF0000"/>
      </font>
      <fill>
        <patternFill patternType="none">
          <bgColor auto="1"/>
        </patternFill>
      </fill>
    </dxf>
    <dxf>
      <font>
        <color rgb="FFC00000"/>
      </font>
      <fill>
        <patternFill>
          <bgColor rgb="FFFEB6B4"/>
        </patternFill>
      </fill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ont>
        <b/>
        <i val="0"/>
        <color rgb="FF7030A0"/>
      </font>
      <fill>
        <patternFill>
          <bgColor theme="8" tint="0.79998168889431442"/>
        </patternFill>
      </fill>
      <border>
        <left style="dashDotDot">
          <color rgb="FFFFC000"/>
        </left>
        <right style="dashDotDot">
          <color rgb="FFFFC000"/>
        </right>
        <top style="dashDotDot">
          <color rgb="FFFFC000"/>
        </top>
        <bottom style="dashDotDot">
          <color rgb="FFFFC000"/>
        </bottom>
        <vertical/>
        <horizontal/>
      </border>
    </dxf>
    <dxf>
      <font>
        <color rgb="FFC00000"/>
      </font>
      <fill>
        <patternFill>
          <bgColor rgb="FFFEB6B4"/>
        </patternFill>
      </fill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ont>
        <color rgb="FFC00000"/>
      </font>
      <fill>
        <patternFill>
          <bgColor rgb="FFFEB6B4"/>
        </patternFill>
      </fill>
      <border>
        <left style="dashDot">
          <color rgb="FFFF0000"/>
        </left>
        <right style="dashDot">
          <color rgb="FFFF0000"/>
        </right>
        <top style="dashDot">
          <color rgb="FFFF0000"/>
        </top>
        <bottom style="dashDot">
          <color rgb="FFFF0000"/>
        </bottom>
        <vertical/>
        <horizontal/>
      </border>
    </dxf>
    <dxf>
      <font>
        <b/>
        <i val="0"/>
        <color rgb="FFFFFF00"/>
      </font>
      <fill>
        <patternFill>
          <bgColor rgb="FFFF0000"/>
        </patternFill>
      </fill>
      <border>
        <left style="dashDot">
          <color auto="1"/>
        </left>
        <right style="dashDot">
          <color auto="1"/>
        </right>
        <top style="dashDot">
          <color auto="1"/>
        </top>
        <bottom style="dashDot">
          <color auto="1"/>
        </bottom>
        <vertical/>
        <horizontal/>
      </border>
    </dxf>
  </dxfs>
  <tableStyles count="0" defaultTableStyle="TableStyleMedium2" defaultPivotStyle="PivotStyleLight16"/>
  <colors>
    <mruColors>
      <color rgb="FFFF0000"/>
      <color rgb="FFFEB6B4"/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38100</xdr:colOff>
      <xdr:row>15</xdr:row>
      <xdr:rowOff>190500</xdr:rowOff>
    </xdr:from>
    <xdr:to>
      <xdr:col>5</xdr:col>
      <xdr:colOff>676275</xdr:colOff>
      <xdr:row>15</xdr:row>
      <xdr:rowOff>190500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C1C99965-0EF0-2290-6632-72C28F229E60}"/>
            </a:ext>
          </a:extLst>
        </xdr:cNvPr>
        <xdr:cNvCxnSpPr/>
      </xdr:nvCxnSpPr>
      <xdr:spPr>
        <a:xfrm flipH="1">
          <a:off x="10601325" y="3781425"/>
          <a:ext cx="638175" cy="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B53D5-8C87-4A47-819B-9613EF684790}">
  <sheetPr>
    <tabColor rgb="FFFEB6B4"/>
  </sheetPr>
  <dimension ref="A1:M47"/>
  <sheetViews>
    <sheetView tabSelected="1" topLeftCell="A7" zoomScale="88" zoomScaleNormal="90" workbookViewId="0">
      <selection activeCell="C20" sqref="C20"/>
    </sheetView>
  </sheetViews>
  <sheetFormatPr defaultRowHeight="14.45"/>
  <cols>
    <col min="1" max="1" width="62.85546875" customWidth="1"/>
    <col min="2" max="3" width="28.5703125" customWidth="1"/>
    <col min="4" max="4" width="28.5703125" bestFit="1" customWidth="1"/>
    <col min="5" max="5" width="9.85546875" customWidth="1"/>
    <col min="6" max="6" width="11.85546875" customWidth="1"/>
    <col min="7" max="7" width="19.28515625" customWidth="1"/>
    <col min="8" max="8" width="14.28515625" customWidth="1"/>
    <col min="9" max="9" width="14.28515625" bestFit="1" customWidth="1"/>
    <col min="10" max="10" width="18.85546875" customWidth="1"/>
    <col min="11" max="11" width="7.7109375" customWidth="1"/>
    <col min="12" max="14" width="13.42578125" customWidth="1"/>
    <col min="15" max="15" width="13" customWidth="1"/>
    <col min="16" max="16" width="14.140625" customWidth="1"/>
    <col min="17" max="17" width="13.7109375" customWidth="1"/>
  </cols>
  <sheetData>
    <row r="1" spans="1:13">
      <c r="A1" s="72" t="s">
        <v>0</v>
      </c>
      <c r="B1" s="13"/>
      <c r="C1" s="13"/>
      <c r="D1" s="13"/>
      <c r="E1" s="13"/>
      <c r="F1" s="13"/>
      <c r="G1" s="13"/>
    </row>
    <row r="2" spans="1:13" ht="15" thickBot="1">
      <c r="B2" s="341"/>
      <c r="C2" s="341"/>
      <c r="D2" s="341"/>
      <c r="E2" s="13"/>
      <c r="F2" s="13"/>
      <c r="G2" s="13"/>
    </row>
    <row r="3" spans="1:13" ht="18.600000000000001" thickBot="1">
      <c r="A3" s="73" t="s">
        <v>1</v>
      </c>
      <c r="B3" s="342" t="s">
        <v>2</v>
      </c>
      <c r="C3" s="343"/>
      <c r="D3" s="344"/>
      <c r="E3" s="13"/>
      <c r="F3" s="13"/>
      <c r="G3" s="13"/>
    </row>
    <row r="4" spans="1:13" ht="48.75" customHeight="1" thickBot="1">
      <c r="A4" s="158" t="s">
        <v>3</v>
      </c>
      <c r="B4" s="165" t="s">
        <v>4</v>
      </c>
      <c r="C4" s="165" t="s">
        <v>5</v>
      </c>
      <c r="D4" s="165" t="s">
        <v>6</v>
      </c>
      <c r="E4" s="13"/>
      <c r="F4" s="13"/>
      <c r="G4" s="332" t="s">
        <v>7</v>
      </c>
      <c r="H4" s="333"/>
      <c r="I4" s="333"/>
      <c r="J4" s="333"/>
      <c r="K4" s="334"/>
      <c r="L4" s="202"/>
      <c r="M4" s="202"/>
    </row>
    <row r="5" spans="1:13" ht="15.75" customHeight="1">
      <c r="A5" s="216" t="s">
        <v>8</v>
      </c>
      <c r="B5" s="217" t="s">
        <v>9</v>
      </c>
      <c r="C5" s="217"/>
      <c r="D5" s="217"/>
      <c r="E5" s="345" t="s">
        <v>10</v>
      </c>
      <c r="F5" s="13"/>
      <c r="G5" s="198" t="s">
        <v>11</v>
      </c>
      <c r="H5" s="201"/>
      <c r="J5" s="203" t="s">
        <v>12</v>
      </c>
      <c r="K5" s="199"/>
    </row>
    <row r="6" spans="1:13">
      <c r="A6" s="218" t="s">
        <v>13</v>
      </c>
      <c r="B6" s="219">
        <v>1732</v>
      </c>
      <c r="C6" s="219"/>
      <c r="D6" s="219"/>
      <c r="E6" s="346"/>
      <c r="F6" s="13"/>
      <c r="G6" s="11" t="s">
        <v>14</v>
      </c>
      <c r="H6" s="211">
        <v>0.25</v>
      </c>
      <c r="J6" s="204" t="s">
        <v>15</v>
      </c>
      <c r="K6" s="211">
        <v>0</v>
      </c>
    </row>
    <row r="7" spans="1:13">
      <c r="A7" s="220" t="s">
        <v>16</v>
      </c>
      <c r="B7" s="221">
        <v>7</v>
      </c>
      <c r="C7" s="221"/>
      <c r="D7" s="221"/>
      <c r="E7" s="346"/>
      <c r="F7" s="13"/>
      <c r="G7" s="11" t="s">
        <v>17</v>
      </c>
      <c r="H7" s="211">
        <v>0.25</v>
      </c>
      <c r="J7" s="204" t="s">
        <v>18</v>
      </c>
      <c r="K7" s="211">
        <v>0.5</v>
      </c>
    </row>
    <row r="8" spans="1:13" ht="15" thickBot="1">
      <c r="A8" s="218" t="s">
        <v>19</v>
      </c>
      <c r="B8" s="222" t="s">
        <v>20</v>
      </c>
      <c r="C8" s="222"/>
      <c r="D8" s="222"/>
      <c r="E8" s="346"/>
      <c r="F8" s="13"/>
      <c r="G8" s="200" t="s">
        <v>21</v>
      </c>
      <c r="H8" s="212">
        <v>0.5</v>
      </c>
      <c r="I8" s="210"/>
      <c r="J8" s="205" t="s">
        <v>22</v>
      </c>
      <c r="K8" s="212">
        <v>0.5</v>
      </c>
    </row>
    <row r="9" spans="1:13" ht="15" thickBot="1">
      <c r="A9" s="220" t="s">
        <v>23</v>
      </c>
      <c r="B9" s="223">
        <v>4.8600000000000003</v>
      </c>
      <c r="C9" s="223"/>
      <c r="D9" s="223"/>
      <c r="E9" s="346"/>
      <c r="F9" s="13"/>
      <c r="G9" s="192"/>
      <c r="H9" s="214">
        <f>SUM(H6:H8)</f>
        <v>1</v>
      </c>
      <c r="I9" s="213"/>
      <c r="J9" s="215"/>
      <c r="K9" s="214">
        <f>SUM(K6:K8)</f>
        <v>1</v>
      </c>
      <c r="L9" t="s">
        <v>24</v>
      </c>
    </row>
    <row r="10" spans="1:13">
      <c r="A10" s="218" t="s">
        <v>25</v>
      </c>
      <c r="B10" s="224">
        <v>3.5</v>
      </c>
      <c r="C10" s="224"/>
      <c r="D10" s="224"/>
      <c r="E10" s="346"/>
      <c r="F10" s="13"/>
      <c r="G10" s="13"/>
    </row>
    <row r="11" spans="1:13">
      <c r="A11" s="220" t="s">
        <v>26</v>
      </c>
      <c r="B11" s="221">
        <v>197</v>
      </c>
      <c r="C11" s="221"/>
      <c r="D11" s="221"/>
      <c r="E11" s="346"/>
      <c r="F11" s="13"/>
      <c r="G11" s="13"/>
    </row>
    <row r="12" spans="1:13">
      <c r="A12" s="225" t="s">
        <v>27</v>
      </c>
      <c r="B12" s="222">
        <v>4</v>
      </c>
      <c r="C12" s="222"/>
      <c r="D12" s="222"/>
      <c r="E12" s="346"/>
      <c r="F12" s="13"/>
      <c r="G12" s="13"/>
    </row>
    <row r="13" spans="1:13" ht="15" thickBot="1">
      <c r="A13" s="237" t="s">
        <v>28</v>
      </c>
      <c r="B13" s="238" t="s">
        <v>29</v>
      </c>
      <c r="C13" s="238"/>
      <c r="D13" s="238"/>
      <c r="E13" s="347"/>
      <c r="F13" s="13"/>
      <c r="G13" s="13"/>
    </row>
    <row r="14" spans="1:13" ht="15.75" customHeight="1">
      <c r="A14" s="239" t="s">
        <v>30</v>
      </c>
      <c r="B14" s="240" t="s">
        <v>31</v>
      </c>
      <c r="C14" s="240"/>
      <c r="D14" s="240"/>
      <c r="E14" s="337" t="s">
        <v>32</v>
      </c>
      <c r="F14" s="13"/>
      <c r="G14" s="13"/>
    </row>
    <row r="15" spans="1:13">
      <c r="A15" s="227" t="s">
        <v>33</v>
      </c>
      <c r="B15" s="228" t="s">
        <v>34</v>
      </c>
      <c r="C15" s="228"/>
      <c r="D15" s="228"/>
      <c r="E15" s="338"/>
      <c r="F15" s="13"/>
      <c r="G15" s="13"/>
    </row>
    <row r="16" spans="1:13" ht="30.75" customHeight="1">
      <c r="A16" s="218" t="s">
        <v>35</v>
      </c>
      <c r="B16" s="229" t="s">
        <v>36</v>
      </c>
      <c r="C16" s="229"/>
      <c r="D16" s="229"/>
      <c r="E16" s="338"/>
      <c r="F16" s="251"/>
      <c r="G16" s="340" t="s">
        <v>37</v>
      </c>
      <c r="H16" s="340"/>
      <c r="I16" s="340"/>
      <c r="J16" s="340"/>
      <c r="K16" s="340"/>
    </row>
    <row r="17" spans="1:7">
      <c r="A17" s="227" t="s">
        <v>38</v>
      </c>
      <c r="B17" s="230">
        <v>32</v>
      </c>
      <c r="C17" s="230"/>
      <c r="D17" s="230"/>
      <c r="E17" s="338"/>
      <c r="F17" s="13"/>
      <c r="G17" s="13"/>
    </row>
    <row r="18" spans="1:7" ht="15.75" customHeight="1">
      <c r="A18" s="218" t="s">
        <v>39</v>
      </c>
      <c r="B18" s="226" t="s">
        <v>40</v>
      </c>
      <c r="C18" s="226"/>
      <c r="D18" s="226"/>
      <c r="E18" s="338"/>
      <c r="F18" s="13"/>
      <c r="G18" s="13"/>
    </row>
    <row r="19" spans="1:7" ht="15.75" customHeight="1" thickBot="1">
      <c r="A19" s="243" t="s">
        <v>41</v>
      </c>
      <c r="B19" s="244" t="s">
        <v>42</v>
      </c>
      <c r="C19" s="244"/>
      <c r="D19" s="244"/>
      <c r="E19" s="339"/>
      <c r="F19" s="13"/>
      <c r="G19" s="13"/>
    </row>
    <row r="20" spans="1:7">
      <c r="A20" s="241" t="s">
        <v>43</v>
      </c>
      <c r="B20" s="242">
        <v>65</v>
      </c>
      <c r="C20" s="242"/>
      <c r="D20" s="242"/>
      <c r="E20" s="335" t="s">
        <v>44</v>
      </c>
      <c r="F20" s="13"/>
      <c r="G20" s="13"/>
    </row>
    <row r="21" spans="1:7">
      <c r="A21" s="218" t="s">
        <v>45</v>
      </c>
      <c r="B21" s="226" t="s">
        <v>46</v>
      </c>
      <c r="C21" s="226"/>
      <c r="D21" s="226"/>
      <c r="E21" s="335"/>
      <c r="F21" s="13"/>
      <c r="G21" s="13"/>
    </row>
    <row r="22" spans="1:7">
      <c r="A22" s="231" t="s">
        <v>47</v>
      </c>
      <c r="B22" s="232" t="s">
        <v>48</v>
      </c>
      <c r="C22" s="232"/>
      <c r="D22" s="232"/>
      <c r="E22" s="335"/>
      <c r="F22" s="13"/>
      <c r="G22" s="13"/>
    </row>
    <row r="23" spans="1:7">
      <c r="A23" s="218" t="s">
        <v>49</v>
      </c>
      <c r="B23" s="226" t="s">
        <v>50</v>
      </c>
      <c r="C23" s="226"/>
      <c r="D23" s="226"/>
      <c r="E23" s="335"/>
      <c r="F23" s="13"/>
      <c r="G23" s="13"/>
    </row>
    <row r="24" spans="1:7">
      <c r="A24" s="231" t="s">
        <v>51</v>
      </c>
      <c r="B24" s="232" t="s">
        <v>29</v>
      </c>
      <c r="C24" s="232"/>
      <c r="D24" s="232"/>
      <c r="E24" s="335"/>
      <c r="F24" s="13"/>
      <c r="G24" s="13"/>
    </row>
    <row r="25" spans="1:7">
      <c r="A25" s="233" t="s">
        <v>52</v>
      </c>
      <c r="B25" s="226" t="s">
        <v>29</v>
      </c>
      <c r="C25" s="226"/>
      <c r="D25" s="226"/>
      <c r="E25" s="335"/>
      <c r="F25" s="13"/>
      <c r="G25" s="13"/>
    </row>
    <row r="26" spans="1:7">
      <c r="A26" s="234" t="s">
        <v>53</v>
      </c>
      <c r="B26" s="232" t="s">
        <v>54</v>
      </c>
      <c r="C26" s="232"/>
      <c r="D26" s="232"/>
      <c r="E26" s="335"/>
      <c r="F26" s="13"/>
      <c r="G26" s="13"/>
    </row>
    <row r="27" spans="1:7" ht="15" thickBot="1">
      <c r="A27" s="235" t="s">
        <v>55</v>
      </c>
      <c r="B27" s="236" t="s">
        <v>56</v>
      </c>
      <c r="C27" s="236"/>
      <c r="D27" s="236"/>
      <c r="E27" s="336"/>
      <c r="F27" s="13"/>
      <c r="G27" s="13"/>
    </row>
    <row r="28" spans="1:7" ht="15" thickBot="1">
      <c r="A28" s="59"/>
      <c r="B28" s="74"/>
      <c r="C28" s="74"/>
      <c r="D28" s="74"/>
      <c r="E28" s="13"/>
      <c r="F28" s="13"/>
      <c r="G28" s="13"/>
    </row>
    <row r="29" spans="1:7" ht="18.600000000000001" thickBot="1">
      <c r="A29" s="323" t="str">
        <f>B3</f>
        <v>MDACC South Campus Garage 2</v>
      </c>
      <c r="B29" s="324"/>
      <c r="C29" s="324"/>
      <c r="D29" s="325"/>
      <c r="E29" s="13"/>
      <c r="F29" s="13"/>
      <c r="G29" s="13"/>
    </row>
    <row r="30" spans="1:7" ht="15" thickBot="1">
      <c r="A30" s="159" t="s">
        <v>57</v>
      </c>
      <c r="B30" s="160" t="str">
        <f>B4</f>
        <v>Option 1</v>
      </c>
      <c r="C30" s="160" t="str">
        <f>C4</f>
        <v>Option 2</v>
      </c>
      <c r="D30" s="160" t="str">
        <f>D4</f>
        <v>Option 3</v>
      </c>
      <c r="E30" s="13"/>
      <c r="F30" s="13"/>
      <c r="G30" s="13"/>
    </row>
    <row r="31" spans="1:7">
      <c r="A31" s="245" t="s">
        <v>58</v>
      </c>
      <c r="B31" s="246">
        <f>Ramping!B37</f>
        <v>86.670603864734289</v>
      </c>
      <c r="C31" s="246" t="e">
        <f>Ramping!C37</f>
        <v>#N/A</v>
      </c>
      <c r="D31" s="246" t="e">
        <f>Ramping!D37</f>
        <v>#N/A</v>
      </c>
      <c r="E31" s="326" t="s">
        <v>59</v>
      </c>
      <c r="F31" s="327"/>
      <c r="G31" s="327"/>
    </row>
    <row r="32" spans="1:7">
      <c r="A32" s="247" t="s">
        <v>60</v>
      </c>
      <c r="B32" s="248">
        <f>Geometry!B33</f>
        <v>94.954999999999984</v>
      </c>
      <c r="C32" s="248">
        <f>Geometry!C33</f>
        <v>0.25</v>
      </c>
      <c r="D32" s="248">
        <f>Geometry!D33</f>
        <v>0.25</v>
      </c>
      <c r="E32" s="328" t="s">
        <v>59</v>
      </c>
      <c r="F32" s="329"/>
      <c r="G32" s="329"/>
    </row>
    <row r="33" spans="1:7" ht="15" thickBot="1">
      <c r="A33" s="249" t="s">
        <v>61</v>
      </c>
      <c r="B33" s="250">
        <f>Wayfinding!B32</f>
        <v>83.435999999999993</v>
      </c>
      <c r="C33" s="250">
        <f>Wayfinding!C32</f>
        <v>0.4</v>
      </c>
      <c r="D33" s="250">
        <f>Wayfinding!D32</f>
        <v>0.4</v>
      </c>
      <c r="E33" s="330" t="s">
        <v>59</v>
      </c>
      <c r="F33" s="331"/>
      <c r="G33" s="331"/>
    </row>
    <row r="34" spans="1:7" ht="15" thickBot="1">
      <c r="A34" s="28"/>
      <c r="B34" s="15"/>
      <c r="C34" s="15"/>
      <c r="D34" s="16"/>
      <c r="E34" s="13"/>
      <c r="F34" s="13"/>
      <c r="G34" s="13"/>
    </row>
    <row r="35" spans="1:7" ht="15" thickBot="1">
      <c r="A35" s="320" t="s">
        <v>62</v>
      </c>
      <c r="B35" s="321"/>
      <c r="C35" s="321"/>
      <c r="D35" s="322"/>
      <c r="E35" s="13"/>
      <c r="F35" s="13"/>
      <c r="G35" s="13"/>
    </row>
    <row r="36" spans="1:7">
      <c r="A36" s="60" t="s">
        <v>63</v>
      </c>
      <c r="B36" s="53">
        <f>B31*0.45</f>
        <v>39.001771739130433</v>
      </c>
      <c r="C36" s="53" t="e">
        <f>C31*0.45</f>
        <v>#N/A</v>
      </c>
      <c r="D36" s="53" t="e">
        <f>D31*0.45</f>
        <v>#N/A</v>
      </c>
      <c r="E36" s="13"/>
      <c r="F36" s="13"/>
      <c r="G36" s="13"/>
    </row>
    <row r="37" spans="1:7">
      <c r="A37" s="60" t="s">
        <v>64</v>
      </c>
      <c r="B37" s="53">
        <f>B32*0.4</f>
        <v>37.981999999999992</v>
      </c>
      <c r="C37" s="53">
        <f>C32*0.4</f>
        <v>0.1</v>
      </c>
      <c r="D37" s="53">
        <f>D32*0.4</f>
        <v>0.1</v>
      </c>
      <c r="E37" s="13"/>
      <c r="F37" s="13"/>
      <c r="G37" s="13"/>
    </row>
    <row r="38" spans="1:7" ht="15" thickBot="1">
      <c r="A38" s="60" t="s">
        <v>65</v>
      </c>
      <c r="B38" s="53">
        <f>B33*0.15</f>
        <v>12.515399999999998</v>
      </c>
      <c r="C38" s="53">
        <f>C33*0.15</f>
        <v>0.06</v>
      </c>
      <c r="D38" s="53">
        <f>D33*0.15</f>
        <v>0.06</v>
      </c>
      <c r="E38" s="13"/>
      <c r="F38" s="13"/>
      <c r="G38" s="13"/>
    </row>
    <row r="39" spans="1:7">
      <c r="A39" s="161" t="s">
        <v>66</v>
      </c>
      <c r="B39" s="162">
        <f>SUM(B36:B38)</f>
        <v>89.499171739130418</v>
      </c>
      <c r="C39" s="162" t="e">
        <f>SUM(C36:C38)</f>
        <v>#N/A</v>
      </c>
      <c r="D39" s="162" t="e">
        <f t="shared" ref="D39" si="0">SUM(D36:D38)</f>
        <v>#N/A</v>
      </c>
      <c r="E39" s="13"/>
      <c r="F39" s="13"/>
      <c r="G39" s="13"/>
    </row>
    <row r="40" spans="1:7" ht="15" thickBot="1">
      <c r="A40" s="163" t="s">
        <v>67</v>
      </c>
      <c r="B40" s="164" t="str">
        <f>IF(OR(B31&lt;70,B32&lt;70),"Garage Fails - Check Ramping &amp; Geometry",_xlfn.XLOOKUP(B39,Data!$B$70:$B$83,Data!$D$70:$D$83,,-1,1))</f>
        <v xml:space="preserve">LOS B </v>
      </c>
      <c r="C40" s="164" t="e">
        <f>IF(OR(C31&lt;70,C32&lt;70),"Garage Fails - Check Ramping &amp; Geometry",_xlfn.XLOOKUP(C39,Data!$B$70:$B$83,Data!$D$70:$D$83,,-1,1))</f>
        <v>#N/A</v>
      </c>
      <c r="D40" s="164" t="e">
        <f>IF(OR(D31&lt;70,D32&lt;70),"Garage Fails - Check Ramping &amp; Geometry",_xlfn.XLOOKUP(D39,Data!$B$70:$B$83,Data!$D$70:$D$83,,-1,1))</f>
        <v>#N/A</v>
      </c>
      <c r="E40" s="13"/>
      <c r="F40" s="13"/>
      <c r="G40" s="13"/>
    </row>
    <row r="41" spans="1:7">
      <c r="A41" s="13"/>
      <c r="B41" s="3"/>
      <c r="C41" s="3"/>
      <c r="D41" s="3"/>
      <c r="E41" s="3"/>
      <c r="F41" s="13"/>
      <c r="G41" s="13"/>
    </row>
    <row r="42" spans="1:7">
      <c r="A42" s="13"/>
      <c r="B42" s="13"/>
      <c r="C42" s="13"/>
      <c r="D42" s="13"/>
      <c r="E42" s="13"/>
      <c r="F42" s="13"/>
      <c r="G42" s="13"/>
    </row>
    <row r="43" spans="1:7">
      <c r="A43" s="13"/>
      <c r="B43" s="13"/>
      <c r="C43" s="13"/>
      <c r="D43" s="13"/>
      <c r="E43" s="13"/>
      <c r="F43" s="13"/>
      <c r="G43" s="13"/>
    </row>
    <row r="44" spans="1:7">
      <c r="A44" s="13"/>
      <c r="B44" s="13"/>
      <c r="C44" s="13"/>
      <c r="D44" s="13"/>
      <c r="E44" s="13"/>
      <c r="F44" s="13"/>
      <c r="G44" s="13"/>
    </row>
    <row r="45" spans="1:7">
      <c r="A45" s="13"/>
      <c r="B45" s="13"/>
      <c r="C45" s="13"/>
      <c r="D45" s="13"/>
      <c r="E45" s="13"/>
      <c r="F45" s="13"/>
      <c r="G45" s="13"/>
    </row>
    <row r="46" spans="1:7">
      <c r="A46" s="13"/>
      <c r="B46" s="13"/>
      <c r="C46" s="13"/>
      <c r="D46" s="13"/>
      <c r="E46" s="13"/>
      <c r="F46" s="13"/>
      <c r="G46" s="13"/>
    </row>
    <row r="47" spans="1:7">
      <c r="A47" s="13"/>
      <c r="B47" s="13"/>
      <c r="C47" s="13"/>
      <c r="D47" s="13"/>
      <c r="E47" s="13"/>
      <c r="F47" s="13"/>
      <c r="G47" s="13"/>
    </row>
  </sheetData>
  <mergeCells count="12">
    <mergeCell ref="G4:K4"/>
    <mergeCell ref="E20:E27"/>
    <mergeCell ref="E14:E19"/>
    <mergeCell ref="G16:K16"/>
    <mergeCell ref="B2:D2"/>
    <mergeCell ref="B3:D3"/>
    <mergeCell ref="E5:E13"/>
    <mergeCell ref="A35:D35"/>
    <mergeCell ref="A29:D29"/>
    <mergeCell ref="E31:G31"/>
    <mergeCell ref="E32:G32"/>
    <mergeCell ref="E33:G33"/>
  </mergeCells>
  <phoneticPr fontId="4" type="noConversion"/>
  <conditionalFormatting sqref="B39:D40">
    <cfRule type="containsText" dxfId="12" priority="1" operator="containsText" text="Garage Fails">
      <formula>NOT(ISERROR(SEARCH("Garage Fails",B39)))</formula>
    </cfRule>
  </conditionalFormatting>
  <pageMargins left="0.7" right="0.7" top="0.75" bottom="0.75" header="0.3" footer="0.3"/>
  <pageSetup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xr:uid="{78228CD4-B052-4E02-8891-38E593FD0337}">
          <x14:formula1>
            <xm:f>Data!$H$107:$H$108</xm:f>
          </x14:formula1>
          <xm:sqref>B18:D18</xm:sqref>
        </x14:dataValidation>
        <x14:dataValidation type="list" allowBlank="1" showInputMessage="1" showErrorMessage="1" xr:uid="{486549AE-1335-424A-AD90-168D915193D1}">
          <x14:formula1>
            <xm:f>Data!$A$37:$A$44</xm:f>
          </x14:formula1>
          <xm:sqref>B8:D8</xm:sqref>
        </x14:dataValidation>
        <x14:dataValidation type="list" allowBlank="1" showInputMessage="1" showErrorMessage="1" xr:uid="{C0EF1A40-A8CF-4416-897B-BCBFC746941D}">
          <x14:formula1>
            <xm:f>Data!$H$117:$H$124</xm:f>
          </x14:formula1>
          <xm:sqref>B14:D14</xm:sqref>
        </x14:dataValidation>
        <x14:dataValidation type="list" allowBlank="1" showInputMessage="1" showErrorMessage="1" xr:uid="{A0781F32-6A60-47E1-B8A3-077F0B601A2C}">
          <x14:formula1>
            <xm:f>Data!$B$133:$B$156</xm:f>
          </x14:formula1>
          <xm:sqref>B15:D15</xm:sqref>
        </x14:dataValidation>
        <x14:dataValidation type="list" allowBlank="1" showInputMessage="1" showErrorMessage="1" xr:uid="{6B114D1C-B69C-4831-9390-EECD174F36EA}">
          <x14:formula1>
            <xm:f>Data!$B$226:$B$250</xm:f>
          </x14:formula1>
          <xm:sqref>B21:D21</xm:sqref>
        </x14:dataValidation>
        <x14:dataValidation type="list" allowBlank="1" showInputMessage="1" showErrorMessage="1" xr:uid="{1ED1AAA9-60B3-40DF-AD59-6854CF0AE9BC}">
          <x14:formula1>
            <xm:f>Data!$F$247:$F$250</xm:f>
          </x14:formula1>
          <xm:sqref>B23:D23</xm:sqref>
        </x14:dataValidation>
        <x14:dataValidation type="list" allowBlank="1" showInputMessage="1" showErrorMessage="1" xr:uid="{A2429EB7-47B4-43A8-89A7-EE6396EF3A1A}">
          <x14:formula1>
            <xm:f>Data!$H$248:$H$249</xm:f>
          </x14:formula1>
          <xm:sqref>B24:D25 B19:D19 B13:D13</xm:sqref>
        </x14:dataValidation>
        <x14:dataValidation type="list" allowBlank="1" showInputMessage="1" showErrorMessage="1" xr:uid="{102ABD24-3DAD-4D55-BA90-463E4DFC836C}">
          <x14:formula1>
            <xm:f>Data!$E$246:$E$249</xm:f>
          </x14:formula1>
          <xm:sqref>B27:D27</xm:sqref>
        </x14:dataValidation>
        <x14:dataValidation type="list" allowBlank="1" showInputMessage="1" showErrorMessage="1" xr:uid="{FBCEE80A-FD40-4A28-AF59-0AE64CB935D4}">
          <x14:formula1>
            <xm:f>Data!$E$243:$E$245</xm:f>
          </x14:formula1>
          <xm:sqref>B26:D26</xm:sqref>
        </x14:dataValidation>
        <x14:dataValidation type="list" allowBlank="1" showInputMessage="1" showErrorMessage="1" xr:uid="{304F1E04-A604-4861-9CB6-E459187B0A3C}">
          <x14:formula1>
            <xm:f>_xlfn.XLOOKUP(B14,Data!$H$117:$H$124,Data!$I$117:$L$124)</xm:f>
          </x14:formula1>
          <xm:sqref>B16:D16</xm:sqref>
        </x14:dataValidation>
        <x14:dataValidation type="list" allowBlank="1" showInputMessage="1" showErrorMessage="1" xr:uid="{40D8377F-FD34-47BF-9BC9-E827C25456FA}">
          <x14:formula1>
            <xm:f>Data!$A$12:$A$28</xm:f>
          </x14:formula1>
          <xm:sqref>B5:D5</xm:sqref>
        </x14:dataValidation>
        <x14:dataValidation type="list" allowBlank="1" showInputMessage="1" showErrorMessage="1" xr:uid="{95CD5F48-62D8-45FF-89B5-0F151CF03340}">
          <x14:formula1>
            <xm:f>Data!$I$107:$I$108</xm:f>
          </x14:formula1>
          <xm:sqref>B22:D22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12C826-653E-4952-9462-CEE6B86A4AD5}">
  <sheetPr>
    <tabColor theme="8" tint="0.79998168889431442"/>
  </sheetPr>
  <dimension ref="A1:I40"/>
  <sheetViews>
    <sheetView zoomScaleNormal="100" workbookViewId="0">
      <selection activeCell="B34" sqref="B34"/>
    </sheetView>
  </sheetViews>
  <sheetFormatPr defaultRowHeight="14.45"/>
  <cols>
    <col min="1" max="1" width="53.28515625" customWidth="1"/>
    <col min="2" max="2" width="26" bestFit="1" customWidth="1"/>
    <col min="3" max="4" width="25.5703125" bestFit="1" customWidth="1"/>
    <col min="5" max="5" width="13.85546875" bestFit="1" customWidth="1"/>
    <col min="6" max="6" width="17.28515625" bestFit="1" customWidth="1"/>
    <col min="7" max="7" width="29.28515625" bestFit="1" customWidth="1"/>
    <col min="8" max="8" width="9.28515625" bestFit="1" customWidth="1"/>
    <col min="9" max="9" width="14.28515625" bestFit="1" customWidth="1"/>
    <col min="10" max="10" width="11.42578125" bestFit="1" customWidth="1"/>
    <col min="11" max="11" width="10.5703125" customWidth="1"/>
  </cols>
  <sheetData>
    <row r="1" spans="1:9" ht="15" thickBot="1">
      <c r="A1" s="351" t="s">
        <v>68</v>
      </c>
      <c r="B1" s="351"/>
      <c r="C1" s="351"/>
      <c r="D1" s="351"/>
      <c r="E1" s="13"/>
      <c r="G1" s="2"/>
      <c r="I1" s="2"/>
    </row>
    <row r="2" spans="1:9" ht="15" thickBot="1">
      <c r="A2" s="9"/>
      <c r="B2" s="348" t="str">
        <f>Summary!B3</f>
        <v>MDACC South Campus Garage 2</v>
      </c>
      <c r="C2" s="349"/>
      <c r="D2" s="350"/>
      <c r="E2" s="13"/>
    </row>
    <row r="3" spans="1:9">
      <c r="A3" s="135"/>
      <c r="B3" s="352" t="str">
        <f>Summary!B4</f>
        <v>Option 1</v>
      </c>
      <c r="C3" s="352" t="str">
        <f>Summary!C4</f>
        <v>Option 2</v>
      </c>
      <c r="D3" s="352" t="str">
        <f>Summary!D4</f>
        <v>Option 3</v>
      </c>
      <c r="E3" s="13"/>
      <c r="G3" s="1"/>
    </row>
    <row r="4" spans="1:9" ht="15" thickBot="1">
      <c r="A4" s="136" t="s">
        <v>69</v>
      </c>
      <c r="B4" s="353"/>
      <c r="C4" s="353"/>
      <c r="D4" s="353"/>
      <c r="E4" s="13"/>
    </row>
    <row r="5" spans="1:9">
      <c r="A5" s="11" t="s">
        <v>70</v>
      </c>
      <c r="B5" s="20" t="str">
        <f>Summary!B5</f>
        <v>Research</v>
      </c>
      <c r="C5" s="40">
        <f>Summary!C5</f>
        <v>0</v>
      </c>
      <c r="D5" s="8">
        <f>Summary!D5</f>
        <v>0</v>
      </c>
      <c r="E5" s="13"/>
    </row>
    <row r="6" spans="1:9">
      <c r="A6" s="11" t="s">
        <v>71</v>
      </c>
      <c r="B6" s="41">
        <f>Summary!B6</f>
        <v>1732</v>
      </c>
      <c r="C6" s="42">
        <f>Summary!C6</f>
        <v>0</v>
      </c>
      <c r="D6" s="41">
        <f>Summary!D6</f>
        <v>0</v>
      </c>
      <c r="E6" s="13"/>
    </row>
    <row r="7" spans="1:9" ht="28.9">
      <c r="A7" s="44" t="s">
        <v>72</v>
      </c>
      <c r="B7" s="10" t="str">
        <f>Summary!B8</f>
        <v>Double Threaded Helix - 2  Way</v>
      </c>
      <c r="C7" s="45">
        <f>Summary!C8</f>
        <v>0</v>
      </c>
      <c r="D7" s="10">
        <f>Summary!D8</f>
        <v>0</v>
      </c>
      <c r="E7" s="13"/>
    </row>
    <row r="8" spans="1:9">
      <c r="A8" s="11" t="s">
        <v>73</v>
      </c>
      <c r="B8" s="8" cm="1">
        <f t="array" ref="B8">MAX(VLOOKUP(B5,Data!$A$12:$E$26,{2,3,4,5},0))</f>
        <v>0.55000000000000004</v>
      </c>
      <c r="C8" s="43" t="e" cm="1">
        <f t="array" ref="C8">MAX(VLOOKUP(C5,Data!$A$12:$E$26,{2,3,4,5},0))</f>
        <v>#N/A</v>
      </c>
      <c r="D8" s="8" t="e" cm="1">
        <f t="array" ref="D8">MAX(VLOOKUP(D5,Data!$A$12:$E$26,{2,3,4,5},0))</f>
        <v>#N/A</v>
      </c>
      <c r="E8" s="13"/>
    </row>
    <row r="9" spans="1:9">
      <c r="A9" s="44" t="s">
        <v>74</v>
      </c>
      <c r="B9" s="8">
        <f>Summary!B11</f>
        <v>197</v>
      </c>
      <c r="C9" s="43">
        <f>Summary!C11</f>
        <v>0</v>
      </c>
      <c r="D9" s="8">
        <f>Summary!D11</f>
        <v>0</v>
      </c>
      <c r="E9" s="13"/>
    </row>
    <row r="10" spans="1:9">
      <c r="A10" s="11" t="s">
        <v>75</v>
      </c>
      <c r="B10" s="85">
        <f>(B6*B8)-B9</f>
        <v>755.6</v>
      </c>
      <c r="C10" s="86" t="e">
        <f>(C6*C8)-C9</f>
        <v>#N/A</v>
      </c>
      <c r="D10" s="85" t="e">
        <f>(D6*D8)-D9</f>
        <v>#N/A</v>
      </c>
      <c r="E10" s="13"/>
    </row>
    <row r="11" spans="1:9">
      <c r="A11" s="11" t="s">
        <v>76</v>
      </c>
      <c r="B11" s="8">
        <f>Summary!B7</f>
        <v>7</v>
      </c>
      <c r="C11" s="43">
        <f>Summary!C7</f>
        <v>0</v>
      </c>
      <c r="D11" s="8">
        <f>Summary!D7</f>
        <v>0</v>
      </c>
      <c r="E11" s="13"/>
    </row>
    <row r="12" spans="1:9">
      <c r="A12" s="11" t="s">
        <v>77</v>
      </c>
      <c r="B12" s="87">
        <f>B10/IFERROR(VLOOKUP(Summary!B8,Data!$A$37:$B$44,2,FALSE),"")</f>
        <v>0.83955555555555561</v>
      </c>
      <c r="C12" s="88" t="e">
        <f>C10/IFERROR(VLOOKUP(Summary!C8,Data!$A$37:$B$44,2,FALSE),"")</f>
        <v>#N/A</v>
      </c>
      <c r="D12" s="87" t="e">
        <f>D10/IFERROR(VLOOKUP(Summary!D8,Data!$A$37:$B$44,2,FALSE),"")</f>
        <v>#N/A</v>
      </c>
      <c r="E12" s="13"/>
    </row>
    <row r="13" spans="1:9" ht="15" thickBot="1">
      <c r="A13" s="38" t="s">
        <v>78</v>
      </c>
      <c r="B13" s="8" t="str">
        <f>_xlfn.XLOOKUP(B14,Data!$B$70:$B$83,Data!$D$70:$D$83,,-1,1)</f>
        <v xml:space="preserve">LOS C </v>
      </c>
      <c r="C13" s="43" t="e">
        <f>_xlfn.XLOOKUP(C14,Data!$B$70:$B$83,Data!$D$70:$D$83,,-1,1)</f>
        <v>#N/A</v>
      </c>
      <c r="D13" s="8" t="e">
        <f>_xlfn.XLOOKUP(D14,Data!$B$70:$B$83,Data!$D$70:$D$83,,-1,1)</f>
        <v>#N/A</v>
      </c>
      <c r="E13" s="13"/>
    </row>
    <row r="14" spans="1:9" ht="15" thickBot="1">
      <c r="A14" s="137" t="s">
        <v>79</v>
      </c>
      <c r="B14" s="46">
        <f>Data!B67</f>
        <v>79.851207729468598</v>
      </c>
      <c r="C14" s="46" t="e">
        <f>Data!D67</f>
        <v>#N/A</v>
      </c>
      <c r="D14" s="46" t="e">
        <f>Data!F67</f>
        <v>#N/A</v>
      </c>
      <c r="E14" s="13"/>
    </row>
    <row r="15" spans="1:9" ht="15" thickBot="1">
      <c r="A15" s="13"/>
      <c r="B15" s="13"/>
      <c r="C15" s="13"/>
      <c r="D15" s="13"/>
      <c r="E15" s="13"/>
    </row>
    <row r="16" spans="1:9" ht="15" thickBot="1">
      <c r="A16" s="354" t="s">
        <v>69</v>
      </c>
      <c r="B16" s="355"/>
      <c r="C16" s="355"/>
      <c r="D16" s="356"/>
      <c r="E16" s="13"/>
    </row>
    <row r="17" spans="1:5">
      <c r="A17" s="9" t="s">
        <v>80</v>
      </c>
      <c r="B17" s="14">
        <f>Summary!B10</f>
        <v>3.5</v>
      </c>
      <c r="C17" s="47">
        <f>Summary!C10</f>
        <v>0</v>
      </c>
      <c r="D17" s="14">
        <f>Summary!D10</f>
        <v>0</v>
      </c>
      <c r="E17" s="13"/>
    </row>
    <row r="18" spans="1:5" ht="15" thickBot="1">
      <c r="A18" s="11" t="s">
        <v>81</v>
      </c>
      <c r="B18" s="8" t="str">
        <f>_xlfn.XLOOKUP(B19,Data!$B$70:$B$83,Data!$D$70:$D$83,,-1,1)</f>
        <v>LOS A-</v>
      </c>
      <c r="C18" s="43" t="e">
        <f>_xlfn.XLOOKUP(C19,Data!$B$70:$B$83,Data!$D$70:$D$83,,-1,1)</f>
        <v>#N/A</v>
      </c>
      <c r="D18" s="8" t="e">
        <f>_xlfn.XLOOKUP(D19,Data!$B$70:$B$83,Data!$D$70:$D$83,,-1,1)</f>
        <v>#N/A</v>
      </c>
      <c r="E18" s="13"/>
    </row>
    <row r="19" spans="1:5" ht="15" thickBot="1">
      <c r="A19" s="137" t="s">
        <v>82</v>
      </c>
      <c r="B19" s="46">
        <f>Data!A93</f>
        <v>93</v>
      </c>
      <c r="C19" s="46" t="e">
        <f>Data!C93</f>
        <v>#N/A</v>
      </c>
      <c r="D19" s="46" t="e">
        <f>Data!E93</f>
        <v>#N/A</v>
      </c>
      <c r="E19" s="13"/>
    </row>
    <row r="20" spans="1:5" ht="15" thickBot="1">
      <c r="A20" s="13"/>
      <c r="B20" s="13"/>
      <c r="C20" s="13"/>
      <c r="D20" s="13"/>
      <c r="E20" s="13"/>
    </row>
    <row r="21" spans="1:5" ht="15" thickBot="1">
      <c r="A21" s="354" t="s">
        <v>69</v>
      </c>
      <c r="B21" s="355"/>
      <c r="C21" s="355"/>
      <c r="D21" s="356"/>
      <c r="E21" s="13"/>
    </row>
    <row r="22" spans="1:5">
      <c r="A22" s="9" t="s">
        <v>83</v>
      </c>
      <c r="B22" s="48">
        <f>Summary!B9</f>
        <v>4.8600000000000003</v>
      </c>
      <c r="C22" s="49">
        <f>Summary!C9</f>
        <v>0</v>
      </c>
      <c r="D22" s="48">
        <f>Summary!D9</f>
        <v>0</v>
      </c>
      <c r="E22" s="13"/>
    </row>
    <row r="23" spans="1:5" ht="31.5" customHeight="1" thickBot="1">
      <c r="A23" s="11" t="s">
        <v>84</v>
      </c>
      <c r="B23" s="8" t="str">
        <f>IF(ISERROR(SEARCH("Express Ramp",Ramping!B7))*AND(B22&gt;6.67),"Recommend Express Ramp",
IF(ISNUMBER(SEARCH("Express Ramp",Ramping!B7))*AND(B22&lt;6.67),"Recommend Park-On-Ramp",
_xlfn.XLOOKUP(B24,Data!$B$70:$B$83,Data!$D$70:$D$83,,-1,1)))</f>
        <v>LOS A-</v>
      </c>
      <c r="C23" s="43" t="e">
        <f>IF(ISERROR(SEARCH("Express Ramp",Ramping!C7))*AND(C22&gt;6.67),"Recommend Express Ramp",
IF(ISNUMBER(SEARCH("Express Ramp",Ramping!C7))*AND(C22&lt;6.67),"Recommend Park-On-Ramp",
_xlfn.XLOOKUP(C24,Data!$B$70:$B$83,Data!$D$70:$D$83,,-1,1)))</f>
        <v>#N/A</v>
      </c>
      <c r="D23" s="8" t="e">
        <f>IF(ISERROR(SEARCH("Express Ramp",Ramping!D7))*AND(D22&gt;6.67),"Recommend Express Ramp",
IF(ISNUMBER(SEARCH("Express Ramp",Ramping!D7))*AND(D22&lt;6.67),"Recommend Park-On-Ramp",
_xlfn.XLOOKUP(D24,Data!$B$70:$B$83,Data!$D$70:$D$83,,-1,1)))</f>
        <v>#N/A</v>
      </c>
      <c r="E23" s="13"/>
    </row>
    <row r="24" spans="1:5" ht="15" thickBot="1">
      <c r="A24" s="137" t="s">
        <v>85</v>
      </c>
      <c r="B24" s="46">
        <f>Data!A129</f>
        <v>93.97999999999999</v>
      </c>
      <c r="C24" s="46" t="e">
        <f>Data!C129</f>
        <v>#N/A</v>
      </c>
      <c r="D24" s="46" t="e">
        <f>Data!E129</f>
        <v>#N/A</v>
      </c>
      <c r="E24" s="13"/>
    </row>
    <row r="25" spans="1:5" ht="15" thickBot="1">
      <c r="A25" s="192"/>
      <c r="B25" s="71"/>
      <c r="C25" s="71"/>
      <c r="D25" s="193"/>
      <c r="E25" s="13"/>
    </row>
    <row r="26" spans="1:5" ht="15" thickBot="1">
      <c r="A26" s="13"/>
      <c r="B26" s="13"/>
      <c r="C26" s="13"/>
      <c r="D26" s="13"/>
      <c r="E26" s="13"/>
    </row>
    <row r="27" spans="1:5" ht="15" thickBot="1">
      <c r="A27" s="348" t="s">
        <v>86</v>
      </c>
      <c r="B27" s="349"/>
      <c r="C27" s="349"/>
      <c r="D27" s="350"/>
      <c r="E27" s="13"/>
    </row>
    <row r="28" spans="1:5">
      <c r="A28" s="67" t="s">
        <v>87</v>
      </c>
      <c r="B28" s="68">
        <f>B14*0.5</f>
        <v>39.925603864734299</v>
      </c>
      <c r="C28" s="52" t="e">
        <f>C14*0.5</f>
        <v>#N/A</v>
      </c>
      <c r="D28" s="16" t="e">
        <f>D14*0.5</f>
        <v>#N/A</v>
      </c>
      <c r="E28" s="13"/>
    </row>
    <row r="29" spans="1:5" ht="14.25" customHeight="1">
      <c r="A29" s="67" t="s">
        <v>88</v>
      </c>
      <c r="B29" s="17">
        <f>B19*0.25</f>
        <v>23.25</v>
      </c>
      <c r="C29" s="69" t="e">
        <f>C19*0.25</f>
        <v>#N/A</v>
      </c>
      <c r="D29" s="16" t="e">
        <f>D19*0.25</f>
        <v>#N/A</v>
      </c>
      <c r="E29" s="13"/>
    </row>
    <row r="30" spans="1:5" ht="15" thickBot="1">
      <c r="A30" s="67" t="s">
        <v>89</v>
      </c>
      <c r="B30" s="17">
        <f>B24*0.25</f>
        <v>23.494999999999997</v>
      </c>
      <c r="C30" s="69" t="e">
        <f>C24*0.25</f>
        <v>#N/A</v>
      </c>
      <c r="D30" s="16" t="e">
        <f>D24*0.25</f>
        <v>#N/A</v>
      </c>
      <c r="E30" s="13"/>
    </row>
    <row r="31" spans="1:5" ht="15" thickBot="1">
      <c r="A31" s="137" t="s">
        <v>85</v>
      </c>
      <c r="B31" s="46">
        <f>SUM(B28:B30)</f>
        <v>86.670603864734289</v>
      </c>
      <c r="C31" s="46" t="e">
        <f t="shared" ref="C31:D31" si="0">SUM(C28:C30)</f>
        <v>#N/A</v>
      </c>
      <c r="D31" s="46" t="e">
        <f t="shared" si="0"/>
        <v>#N/A</v>
      </c>
      <c r="E31" s="13"/>
    </row>
    <row r="32" spans="1:5" ht="15" thickBot="1">
      <c r="A32" s="67"/>
      <c r="B32" s="15"/>
      <c r="C32" s="15"/>
      <c r="D32" s="16"/>
      <c r="E32" s="13"/>
    </row>
    <row r="33" spans="1:5" ht="15" thickBot="1">
      <c r="A33" s="348" t="s">
        <v>90</v>
      </c>
      <c r="B33" s="349"/>
      <c r="C33" s="349"/>
      <c r="D33" s="350"/>
      <c r="E33" s="13"/>
    </row>
    <row r="34" spans="1:5" ht="15" thickBot="1">
      <c r="A34" s="89" t="s">
        <v>91</v>
      </c>
      <c r="B34" s="194" t="str">
        <f>IF(Summary!B13="NO",-7%, "None")</f>
        <v>None</v>
      </c>
      <c r="C34" s="194" t="str">
        <f>IF(Summary!C13="NO",-7%, "None")</f>
        <v>None</v>
      </c>
      <c r="D34" s="194" t="str">
        <f>IF(Summary!D13="NO",-7%, "None")</f>
        <v>None</v>
      </c>
      <c r="E34" s="13" t="s">
        <v>92</v>
      </c>
    </row>
    <row r="35" spans="1:5" ht="15" thickBot="1">
      <c r="A35" s="89" t="s">
        <v>93</v>
      </c>
      <c r="B35" s="194">
        <f>SUM(B34)</f>
        <v>0</v>
      </c>
      <c r="C35" s="194">
        <f>SUM(C34)</f>
        <v>0</v>
      </c>
      <c r="D35" s="194">
        <f>SUM(D34)</f>
        <v>0</v>
      </c>
      <c r="E35" s="13"/>
    </row>
    <row r="36" spans="1:5" ht="15" thickBot="1">
      <c r="A36" s="70"/>
      <c r="B36" s="71"/>
      <c r="C36" s="71"/>
      <c r="D36" s="71"/>
      <c r="E36" s="13"/>
    </row>
    <row r="37" spans="1:5">
      <c r="A37" s="138" t="s">
        <v>94</v>
      </c>
      <c r="B37" s="52">
        <f>B31*(1+B35)</f>
        <v>86.670603864734289</v>
      </c>
      <c r="C37" s="52" t="e">
        <f>C31*(1+C35)</f>
        <v>#N/A</v>
      </c>
      <c r="D37" s="52" t="e">
        <f t="shared" ref="D37" si="1">D31*(1+D35)</f>
        <v>#N/A</v>
      </c>
      <c r="E37" s="13"/>
    </row>
    <row r="38" spans="1:5" ht="15" thickBot="1">
      <c r="A38" s="139" t="s">
        <v>95</v>
      </c>
      <c r="B38" s="50" t="str">
        <f>_xlfn.XLOOKUP(B37,Data!$B$70:$B$83,Data!$D$70:$D$83,,-1,1)</f>
        <v xml:space="preserve">LOS B </v>
      </c>
      <c r="C38" s="50" t="e">
        <f>_xlfn.XLOOKUP(C37,Data!$B$70:$B$83,Data!$D$70:$D$83,,-1,1)</f>
        <v>#N/A</v>
      </c>
      <c r="D38" s="50" t="e">
        <f>_xlfn.XLOOKUP(D37,Data!$B$70:$B$83,Data!$D$70:$D$83,,-1,1)</f>
        <v>#N/A</v>
      </c>
      <c r="E38" s="13"/>
    </row>
    <row r="39" spans="1:5">
      <c r="A39" s="13"/>
      <c r="B39" s="13"/>
      <c r="C39" s="13"/>
      <c r="D39" s="13"/>
      <c r="E39" s="13"/>
    </row>
    <row r="40" spans="1:5">
      <c r="A40" s="13"/>
      <c r="B40" s="13"/>
      <c r="C40" s="13"/>
      <c r="D40" s="13"/>
    </row>
  </sheetData>
  <mergeCells count="9">
    <mergeCell ref="A33:D33"/>
    <mergeCell ref="A27:D27"/>
    <mergeCell ref="B2:D2"/>
    <mergeCell ref="A1:D1"/>
    <mergeCell ref="B3:B4"/>
    <mergeCell ref="C3:C4"/>
    <mergeCell ref="D3:D4"/>
    <mergeCell ref="A16:D16"/>
    <mergeCell ref="A21:D21"/>
  </mergeCells>
  <conditionalFormatting sqref="B13:D13">
    <cfRule type="containsText" dxfId="11" priority="14" operator="containsText" text="F Not Recommended">
      <formula>NOT(ISERROR(SEARCH("F Not Recommended",B13)))</formula>
    </cfRule>
  </conditionalFormatting>
  <conditionalFormatting sqref="B18:D18">
    <cfRule type="containsText" dxfId="10" priority="19" operator="containsText" text="F Not Recommended">
      <formula>NOT(ISERROR(SEARCH("F Not Recommended",B18)))</formula>
    </cfRule>
  </conditionalFormatting>
  <conditionalFormatting sqref="B23:D23">
    <cfRule type="containsText" dxfId="9" priority="5" operator="containsText" text="Recommend">
      <formula>NOT(ISERROR(SEARCH("Recommend",B23)))</formula>
    </cfRule>
    <cfRule type="containsText" dxfId="8" priority="15" operator="containsText" text="F Not Recommended">
      <formula>NOT(ISERROR(SEARCH("F Not Recommended",B23)))</formula>
    </cfRule>
  </conditionalFormatting>
  <conditionalFormatting sqref="B34:D35">
    <cfRule type="containsText" dxfId="7" priority="2" operator="containsText" text="FALSE">
      <formula>NOT(ISERROR(SEARCH("FALSE",B34)))</formula>
    </cfRule>
  </conditionalFormatting>
  <conditionalFormatting sqref="B38:D38">
    <cfRule type="containsText" dxfId="6" priority="16" operator="containsText" text="F Not Recommended">
      <formula>NOT(ISERROR(SEARCH("F Not Recommended",B38)))</formula>
    </cfRule>
  </conditionalFormatting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55C0B1-260C-4BC7-803B-AC6497F3223A}">
  <sheetPr>
    <tabColor theme="9" tint="0.79998168889431442"/>
  </sheetPr>
  <dimension ref="A1:M36"/>
  <sheetViews>
    <sheetView zoomScale="110" zoomScaleNormal="110" workbookViewId="0">
      <selection activeCell="B17" sqref="B17"/>
    </sheetView>
  </sheetViews>
  <sheetFormatPr defaultRowHeight="14.45"/>
  <cols>
    <col min="1" max="1" width="56.42578125" bestFit="1" customWidth="1"/>
    <col min="2" max="2" width="24" bestFit="1" customWidth="1"/>
    <col min="3" max="4" width="25.7109375" bestFit="1" customWidth="1"/>
    <col min="5" max="5" width="25.7109375" customWidth="1"/>
    <col min="6" max="6" width="14" bestFit="1" customWidth="1"/>
    <col min="7" max="7" width="17.42578125" bestFit="1" customWidth="1"/>
    <col min="8" max="8" width="28.85546875" bestFit="1" customWidth="1"/>
    <col min="9" max="9" width="18.140625" bestFit="1" customWidth="1"/>
    <col min="10" max="10" width="13.85546875" bestFit="1" customWidth="1"/>
    <col min="11" max="11" width="12" bestFit="1" customWidth="1"/>
  </cols>
  <sheetData>
    <row r="1" spans="1:12" ht="15" thickBot="1">
      <c r="A1" s="351" t="s">
        <v>68</v>
      </c>
      <c r="B1" s="351"/>
      <c r="C1" s="351"/>
      <c r="D1" s="351"/>
      <c r="E1" s="13"/>
    </row>
    <row r="2" spans="1:12" ht="15" thickBot="1">
      <c r="A2" s="13"/>
      <c r="B2" s="362" t="str">
        <f>Summary!B3</f>
        <v>MDACC South Campus Garage 2</v>
      </c>
      <c r="C2" s="363"/>
      <c r="D2" s="364"/>
      <c r="E2" s="13"/>
      <c r="H2" s="2"/>
      <c r="I2" s="2"/>
    </row>
    <row r="3" spans="1:12">
      <c r="A3" s="365" t="s">
        <v>69</v>
      </c>
      <c r="B3" s="360" t="str">
        <f>Summary!B4</f>
        <v>Option 1</v>
      </c>
      <c r="C3" s="360" t="str">
        <f>Summary!C4</f>
        <v>Option 2</v>
      </c>
      <c r="D3" s="360" t="str">
        <f>Summary!D4</f>
        <v>Option 3</v>
      </c>
      <c r="E3" s="22"/>
      <c r="F3" s="2"/>
      <c r="G3" s="2"/>
      <c r="H3" s="2"/>
      <c r="I3" s="2"/>
      <c r="J3" s="2"/>
      <c r="K3" s="2"/>
      <c r="L3" s="2"/>
    </row>
    <row r="4" spans="1:12" ht="15" thickBot="1">
      <c r="A4" s="366"/>
      <c r="B4" s="361"/>
      <c r="C4" s="361"/>
      <c r="D4" s="361"/>
      <c r="E4" s="22"/>
      <c r="F4" s="2"/>
      <c r="G4" s="2"/>
      <c r="H4" s="2"/>
    </row>
    <row r="5" spans="1:12" ht="15" thickBot="1">
      <c r="A5" s="9" t="s">
        <v>96</v>
      </c>
      <c r="B5" s="14" t="str">
        <f>Summary!B14</f>
        <v>90°</v>
      </c>
      <c r="C5" s="140">
        <f>Summary!C14</f>
        <v>0</v>
      </c>
      <c r="D5" s="14">
        <f>Summary!D14</f>
        <v>0</v>
      </c>
      <c r="E5" s="3"/>
      <c r="F5" s="2"/>
      <c r="G5" s="2"/>
      <c r="H5" s="2"/>
      <c r="I5" s="2"/>
      <c r="J5" s="2"/>
      <c r="K5" s="2"/>
    </row>
    <row r="6" spans="1:12">
      <c r="A6" s="9" t="s">
        <v>97</v>
      </c>
      <c r="B6" s="14" t="str">
        <f>Summary!B16</f>
        <v>61'</v>
      </c>
      <c r="C6" s="140">
        <f>Summary!C16</f>
        <v>0</v>
      </c>
      <c r="D6" s="14">
        <f>Summary!D16</f>
        <v>0</v>
      </c>
      <c r="E6" s="3"/>
      <c r="F6" s="2"/>
      <c r="G6" s="2"/>
      <c r="H6" s="2"/>
      <c r="I6" s="2"/>
      <c r="J6" s="2"/>
      <c r="K6" s="2"/>
    </row>
    <row r="7" spans="1:12" ht="15" thickBot="1">
      <c r="A7" s="11" t="s">
        <v>98</v>
      </c>
      <c r="B7" s="10" t="str" cm="1">
        <f t="array" ref="B7">IFERROR(INDEX(Data!$I$116:$L$116,,MATCH(Geometry!B6,INDEX(Data!$I$117:$L$124,MATCH(Geometry!B5,Data!$H$117:$H$124,0),),0)),"Bay Width Not Appropriate for Stall Angle")</f>
        <v>LOS B</v>
      </c>
      <c r="C7" s="141" t="str" cm="1">
        <f t="array" ref="C7">IFERROR(INDEX(Data!$I$116:$L$116,,MATCH(Geometry!C6,INDEX(Data!$I$117:$L$124,MATCH(Geometry!C5,Data!$H$117:$H$124,0),),0)),"Bay Width Not Appropriate for Stall Angle")</f>
        <v>Bay Width Not Appropriate for Stall Angle</v>
      </c>
      <c r="D7" s="10" t="str" cm="1">
        <f t="array" ref="D7">IFERROR(INDEX(Data!$I$116:$L$116,,MATCH(Geometry!D6,INDEX(Data!$I$117:$L$124,MATCH(Geometry!D5,Data!$H$117:$H$124,0),),0)),"Bay Width Not Appropriate for Stall Angle")</f>
        <v>Bay Width Not Appropriate for Stall Angle</v>
      </c>
      <c r="E7" s="3"/>
      <c r="F7" s="2"/>
      <c r="G7" s="2"/>
      <c r="H7" s="2"/>
      <c r="I7" s="2"/>
      <c r="J7" s="2"/>
      <c r="K7" s="2"/>
    </row>
    <row r="8" spans="1:12" ht="15" thickBot="1">
      <c r="A8" s="29" t="s">
        <v>99</v>
      </c>
      <c r="B8" s="31">
        <f>IF(B7="LOS A",Data!$C$70,IF(Geometry!B7="LOS B",Data!$C$73,IF(Geometry!B7="LOS C",Data!$C$76,IF(Geometry!B7="LOS D",Data!$C$79,IF(Geometry!B7="LOS F",Data!$C$82)))))</f>
        <v>92.9</v>
      </c>
      <c r="C8" s="31" t="b">
        <f>IF(C7="LOS A",Data!$C$70,IF(Geometry!C7="LOS B",Data!$C$73,IF(Geometry!C7="LOS C",Data!$C$76,IF(Geometry!C7="LOS D",Data!$C$79,IF(Geometry!C7="LOS F",Data!$C$82)))))</f>
        <v>0</v>
      </c>
      <c r="D8" s="31" t="b">
        <f>IF(D7="LOS A",Data!$C$70,IF(Geometry!D7="LOS B",Data!$C$73,IF(Geometry!D7="LOS C",Data!$C$76,IF(Geometry!D7="LOS D",Data!$C$79,IF(Geometry!D7="LOS F",Data!$C$82)))))</f>
        <v>0</v>
      </c>
      <c r="E8" s="3"/>
      <c r="F8" s="2"/>
      <c r="G8" s="2"/>
      <c r="H8" s="2"/>
      <c r="I8" s="2"/>
      <c r="J8" s="2"/>
      <c r="K8" s="2"/>
    </row>
    <row r="9" spans="1:12" ht="15" thickBot="1">
      <c r="A9" s="13"/>
      <c r="B9" s="13"/>
      <c r="C9" s="13"/>
      <c r="D9" s="13"/>
      <c r="E9" s="13"/>
    </row>
    <row r="10" spans="1:12" ht="15" thickBot="1">
      <c r="A10" s="367" t="s">
        <v>69</v>
      </c>
      <c r="B10" s="368"/>
      <c r="C10" s="368"/>
      <c r="D10" s="369"/>
      <c r="E10" s="13"/>
    </row>
    <row r="11" spans="1:12" ht="15" thickBot="1">
      <c r="A11" s="9" t="s">
        <v>100</v>
      </c>
      <c r="B11" s="18" t="str">
        <f>Summary!B18</f>
        <v>Two-Way</v>
      </c>
      <c r="C11" s="142">
        <f>Summary!C18</f>
        <v>0</v>
      </c>
      <c r="D11" s="6">
        <f>Summary!D18</f>
        <v>0</v>
      </c>
      <c r="E11" s="13"/>
    </row>
    <row r="12" spans="1:12">
      <c r="A12" s="9" t="s">
        <v>101</v>
      </c>
      <c r="B12" s="32">
        <f>Summary!B17</f>
        <v>32</v>
      </c>
      <c r="C12" s="142">
        <f>Summary!C17</f>
        <v>0</v>
      </c>
      <c r="D12" s="33">
        <f>Summary!D17</f>
        <v>0</v>
      </c>
      <c r="E12" s="66"/>
      <c r="F12" s="23"/>
      <c r="G12" s="23"/>
      <c r="H12" s="23"/>
      <c r="I12" s="23"/>
      <c r="J12" s="23"/>
      <c r="K12" s="23"/>
    </row>
    <row r="13" spans="1:12" ht="15" thickBot="1">
      <c r="A13" s="11" t="s">
        <v>102</v>
      </c>
      <c r="B13" s="8" t="str">
        <f>_xlfn.XLOOKUP(B14,Data!$B$70:$B$83,Data!$D$70:$D$83,,-1,1)</f>
        <v xml:space="preserve">LOS A </v>
      </c>
      <c r="C13" s="143" t="str">
        <f>_xlfn.XLOOKUP(C14,Data!$B$70:$B$83,Data!$D$70:$D$83,,-1,1)</f>
        <v>F Not Recommended</v>
      </c>
      <c r="D13" s="8" t="str">
        <f>_xlfn.XLOOKUP(D14,Data!$B$70:$B$83,Data!$D$70:$D$83,,-1,1)</f>
        <v>F Not Recommended</v>
      </c>
      <c r="E13" s="3"/>
      <c r="F13" s="2"/>
      <c r="G13" s="2"/>
      <c r="H13" s="2"/>
      <c r="I13" s="2"/>
      <c r="J13" s="2"/>
      <c r="K13" s="2"/>
    </row>
    <row r="14" spans="1:12" ht="15" thickBot="1">
      <c r="A14" s="29" t="s">
        <v>103</v>
      </c>
      <c r="B14" s="34">
        <f>Data!A200</f>
        <v>94.6</v>
      </c>
      <c r="C14" s="12">
        <f>Data!C200</f>
        <v>0</v>
      </c>
      <c r="D14" s="35">
        <f>Data!E200</f>
        <v>0</v>
      </c>
      <c r="E14" s="3"/>
      <c r="F14" s="2"/>
      <c r="G14" s="2"/>
      <c r="H14" s="2"/>
      <c r="I14" s="2"/>
      <c r="J14" s="2"/>
      <c r="K14" s="2"/>
    </row>
    <row r="15" spans="1:12" ht="15" thickBot="1">
      <c r="A15" s="13"/>
      <c r="B15" s="13"/>
      <c r="C15" s="13"/>
      <c r="D15" s="13"/>
      <c r="E15" s="13"/>
    </row>
    <row r="16" spans="1:12" ht="15" thickBot="1">
      <c r="A16" s="367" t="s">
        <v>69</v>
      </c>
      <c r="B16" s="368"/>
      <c r="C16" s="368"/>
      <c r="D16" s="369"/>
      <c r="E16" s="13"/>
    </row>
    <row r="17" spans="1:13">
      <c r="A17" s="9" t="s">
        <v>104</v>
      </c>
      <c r="B17" s="36" t="str">
        <f>Summary!B15</f>
        <v>9'-0"</v>
      </c>
      <c r="C17" s="144">
        <f>Summary!C15</f>
        <v>0</v>
      </c>
      <c r="D17" s="36">
        <f>Summary!D15</f>
        <v>0</v>
      </c>
      <c r="E17" s="66"/>
      <c r="F17" s="23"/>
      <c r="G17" s="23"/>
      <c r="H17" s="23"/>
      <c r="I17" s="23"/>
      <c r="J17" s="23"/>
      <c r="K17" s="23"/>
      <c r="M17" s="30"/>
    </row>
    <row r="18" spans="1:13" ht="15" thickBot="1">
      <c r="A18" s="11" t="s">
        <v>105</v>
      </c>
      <c r="B18" s="10" t="str">
        <f>_xlfn.XLOOKUP(B17,Data!$B$133:$B$156,Data!$D$133:$D$156,1)</f>
        <v>LOS A</v>
      </c>
      <c r="C18" s="141">
        <f>_xlfn.XLOOKUP(C17,Data!$B$133:$B$156,Data!$D$133:$D$156,1)</f>
        <v>1</v>
      </c>
      <c r="D18" s="10">
        <f>_xlfn.XLOOKUP(D17,Data!$B$133:$B$156,Data!$D$133:$D$156,1)</f>
        <v>1</v>
      </c>
      <c r="E18" s="3"/>
      <c r="F18" s="2"/>
      <c r="G18" s="2"/>
      <c r="H18" s="2"/>
      <c r="I18" s="2"/>
      <c r="J18" s="2"/>
      <c r="K18" s="2"/>
      <c r="M18" s="1"/>
    </row>
    <row r="19" spans="1:13" ht="15" thickBot="1">
      <c r="A19" s="29" t="s">
        <v>103</v>
      </c>
      <c r="B19" s="12">
        <f>_xlfn.XLOOKUP(B17,Data!$B$133:$B$156,Data!$C$133:$C$156,1)</f>
        <v>98.4</v>
      </c>
      <c r="C19" s="12">
        <f>_xlfn.XLOOKUP(C17,Data!$B$133:$B$156,Data!$C$133:$C$156,1)</f>
        <v>1</v>
      </c>
      <c r="D19" s="12">
        <f>_xlfn.XLOOKUP(D17,Data!$B$133:$B$156,Data!$C$133:$C$156,1)</f>
        <v>1</v>
      </c>
      <c r="E19" s="3"/>
      <c r="F19" s="2"/>
      <c r="G19" s="2"/>
      <c r="H19" s="2"/>
      <c r="I19" s="2"/>
      <c r="J19" s="2"/>
      <c r="K19" s="2"/>
    </row>
    <row r="20" spans="1:13" ht="15" thickBot="1">
      <c r="A20" s="13"/>
      <c r="B20" s="13"/>
      <c r="C20" s="13"/>
      <c r="D20" s="13"/>
      <c r="E20" s="13"/>
    </row>
    <row r="21" spans="1:13" ht="15" thickBot="1">
      <c r="A21" s="362" t="s">
        <v>106</v>
      </c>
      <c r="B21" s="363"/>
      <c r="C21" s="363"/>
      <c r="D21" s="364"/>
      <c r="E21" s="13"/>
    </row>
    <row r="22" spans="1:13">
      <c r="A22" s="37" t="s">
        <v>107</v>
      </c>
      <c r="B22" s="53">
        <f>B8*0.35</f>
        <v>32.515000000000001</v>
      </c>
      <c r="C22" s="63">
        <f>C8*0.35</f>
        <v>0</v>
      </c>
      <c r="D22" s="53">
        <f>D8*0.35</f>
        <v>0</v>
      </c>
      <c r="E22" s="3"/>
      <c r="F22" s="2"/>
      <c r="G22" s="2"/>
      <c r="H22" s="2"/>
      <c r="I22" s="2"/>
      <c r="J22" s="2"/>
      <c r="K22" s="2"/>
    </row>
    <row r="23" spans="1:13">
      <c r="A23" s="37" t="s">
        <v>108</v>
      </c>
      <c r="B23" s="53">
        <f>B14*0.4</f>
        <v>37.839999999999996</v>
      </c>
      <c r="C23" s="63">
        <f>C14*0.4</f>
        <v>0</v>
      </c>
      <c r="D23" s="53">
        <f>D14*0.4</f>
        <v>0</v>
      </c>
      <c r="E23" s="3"/>
      <c r="F23" s="2"/>
      <c r="G23" s="2"/>
      <c r="H23" s="2"/>
      <c r="I23" s="2"/>
      <c r="J23" s="2"/>
      <c r="K23" s="2"/>
    </row>
    <row r="24" spans="1:13" ht="15" thickBot="1">
      <c r="A24" s="38" t="s">
        <v>109</v>
      </c>
      <c r="B24" s="54">
        <f>B19*0.25</f>
        <v>24.6</v>
      </c>
      <c r="C24" s="145">
        <f>C19*0.25</f>
        <v>0.25</v>
      </c>
      <c r="D24" s="54">
        <f>D19*0.25</f>
        <v>0.25</v>
      </c>
      <c r="E24" s="3"/>
      <c r="F24" s="2"/>
      <c r="G24" s="2"/>
      <c r="H24" s="2"/>
      <c r="I24" s="2"/>
      <c r="J24" s="2"/>
      <c r="K24" s="2"/>
    </row>
    <row r="25" spans="1:13" ht="15" thickBot="1">
      <c r="A25" s="13"/>
      <c r="B25" s="15"/>
      <c r="C25" s="2"/>
      <c r="D25" s="15"/>
      <c r="E25" s="3"/>
      <c r="F25" s="2"/>
      <c r="G25" s="2"/>
      <c r="H25" s="2"/>
      <c r="I25" s="2"/>
      <c r="J25" s="2"/>
      <c r="K25" s="2"/>
    </row>
    <row r="26" spans="1:13">
      <c r="A26" s="75" t="s">
        <v>110</v>
      </c>
      <c r="B26" s="51">
        <f>SUM(B22:B24)</f>
        <v>94.954999999999984</v>
      </c>
      <c r="C26" s="51">
        <f>SUM(C22:C24)</f>
        <v>0.25</v>
      </c>
      <c r="D26" s="51">
        <f>SUM(D22:D24)</f>
        <v>0.25</v>
      </c>
      <c r="E26" s="3"/>
      <c r="F26" s="2"/>
      <c r="G26" s="2"/>
      <c r="H26" s="2"/>
      <c r="I26" s="2"/>
      <c r="J26" s="2"/>
      <c r="K26" s="2"/>
    </row>
    <row r="27" spans="1:13" ht="15" thickBot="1">
      <c r="A27" s="76" t="s">
        <v>111</v>
      </c>
      <c r="B27" s="39" t="str">
        <f>_xlfn.XLOOKUP(B26,Data!$B$70:$B$83,Data!$D$70:$D$83,,-1,1)</f>
        <v xml:space="preserve">LOS A </v>
      </c>
      <c r="C27" s="39" t="str">
        <f>_xlfn.XLOOKUP(C26,Data!$B$70:$B$83,Data!$D$70:$D$83,,-1,1)</f>
        <v>F Not Recommended</v>
      </c>
      <c r="D27" s="39" t="str">
        <f>_xlfn.XLOOKUP(D26,Data!$B$70:$B$83,Data!$D$70:$D$83,,-1,1)</f>
        <v>F Not Recommended</v>
      </c>
      <c r="E27" s="3"/>
      <c r="F27" s="2"/>
      <c r="G27" s="2"/>
      <c r="H27" s="2"/>
      <c r="I27" s="2"/>
      <c r="J27" s="2"/>
      <c r="K27" s="2"/>
    </row>
    <row r="28" spans="1:13" ht="15" thickBot="1">
      <c r="A28" s="13"/>
      <c r="B28" s="15"/>
      <c r="C28" s="2"/>
      <c r="D28" s="15"/>
      <c r="E28" s="3"/>
      <c r="F28" s="2"/>
      <c r="G28" s="2"/>
      <c r="H28" s="2"/>
      <c r="I28" s="2"/>
      <c r="J28" s="2"/>
      <c r="K28" s="2"/>
    </row>
    <row r="29" spans="1:13" ht="15" thickBot="1">
      <c r="A29" s="357" t="s">
        <v>112</v>
      </c>
      <c r="B29" s="358"/>
      <c r="C29" s="358"/>
      <c r="D29" s="359"/>
      <c r="E29" s="3"/>
      <c r="F29" s="2"/>
      <c r="G29" s="2"/>
      <c r="H29" s="2"/>
      <c r="I29" s="2"/>
      <c r="J29" s="2"/>
      <c r="K29" s="2"/>
    </row>
    <row r="30" spans="1:13" ht="29.45" thickBot="1">
      <c r="A30" s="179" t="s">
        <v>113</v>
      </c>
      <c r="B30" s="66" t="str">
        <f>IF(Summary!B19="YES",-3%, "None")</f>
        <v>None</v>
      </c>
      <c r="C30" s="66" t="str">
        <f>IF(Summary!C19="YES",-3%, "None")</f>
        <v>None</v>
      </c>
      <c r="D30" s="66" t="str">
        <f>IF(Summary!D19="YES",-3%, "None")</f>
        <v>None</v>
      </c>
      <c r="E30" s="3"/>
      <c r="F30" s="2"/>
      <c r="G30" s="2"/>
      <c r="H30" s="2"/>
      <c r="I30" s="2"/>
      <c r="J30" s="2"/>
      <c r="K30" s="2"/>
    </row>
    <row r="31" spans="1:13" ht="15" thickBot="1">
      <c r="A31" s="180" t="s">
        <v>114</v>
      </c>
      <c r="B31" s="181">
        <f>SUM(B30)</f>
        <v>0</v>
      </c>
      <c r="C31" s="181">
        <f>SUM(C30)</f>
        <v>0</v>
      </c>
      <c r="D31" s="182">
        <f>SUM(D30)</f>
        <v>0</v>
      </c>
      <c r="E31" s="3"/>
      <c r="F31" s="2"/>
      <c r="G31" s="2"/>
      <c r="H31" s="2"/>
      <c r="I31" s="2"/>
      <c r="J31" s="2"/>
      <c r="K31" s="2"/>
    </row>
    <row r="32" spans="1:13" ht="15" thickBot="1">
      <c r="A32" s="13"/>
      <c r="B32" s="19"/>
      <c r="C32" s="19"/>
      <c r="D32" s="19"/>
      <c r="E32" s="3"/>
      <c r="F32" s="2"/>
      <c r="G32" s="2"/>
      <c r="H32" s="2"/>
      <c r="I32" s="2"/>
      <c r="J32" s="2"/>
      <c r="K32" s="2"/>
    </row>
    <row r="33" spans="1:5">
      <c r="A33" s="187" t="s">
        <v>115</v>
      </c>
      <c r="B33" s="188">
        <f>IF((B26+B26*B31)&gt;100,100,(B26+B26*B31))</f>
        <v>94.954999999999984</v>
      </c>
      <c r="C33" s="188">
        <f t="shared" ref="C33:D33" si="0">IF((C26+C26*C31)&gt;100,100,(C26+C26*C31))</f>
        <v>0.25</v>
      </c>
      <c r="D33" s="188">
        <f t="shared" si="0"/>
        <v>0.25</v>
      </c>
      <c r="E33" s="13"/>
    </row>
    <row r="34" spans="1:5" ht="15" thickBot="1">
      <c r="A34" s="189" t="s">
        <v>116</v>
      </c>
      <c r="B34" s="190" t="str">
        <f>_xlfn.XLOOKUP(B33,Data!$B$70:$B$83,Data!$D$70:$D$83,,-1,1)</f>
        <v xml:space="preserve">LOS A </v>
      </c>
      <c r="C34" s="190" t="str">
        <f>_xlfn.XLOOKUP(C33,Data!$B$70:$B$83,Data!$D$70:$D$83,,-1,1)</f>
        <v>F Not Recommended</v>
      </c>
      <c r="D34" s="190" t="str">
        <f>_xlfn.XLOOKUP(D33,Data!$B$70:$B$83,Data!$D$70:$D$83,,-1,1)</f>
        <v>F Not Recommended</v>
      </c>
      <c r="E34" s="13"/>
    </row>
    <row r="35" spans="1:5">
      <c r="A35" s="13"/>
      <c r="B35" s="13"/>
      <c r="C35" s="13"/>
      <c r="D35" s="13"/>
      <c r="E35" s="13"/>
    </row>
    <row r="36" spans="1:5">
      <c r="A36" s="13"/>
      <c r="B36" s="13"/>
      <c r="C36" s="13"/>
      <c r="D36" s="13"/>
      <c r="E36" s="13"/>
    </row>
  </sheetData>
  <mergeCells count="10">
    <mergeCell ref="A29:D29"/>
    <mergeCell ref="A1:D1"/>
    <mergeCell ref="B3:B4"/>
    <mergeCell ref="C3:C4"/>
    <mergeCell ref="D3:D4"/>
    <mergeCell ref="A21:D21"/>
    <mergeCell ref="B2:D2"/>
    <mergeCell ref="A3:A4"/>
    <mergeCell ref="A10:D10"/>
    <mergeCell ref="A16:D16"/>
  </mergeCells>
  <conditionalFormatting sqref="B7:D7">
    <cfRule type="containsText" dxfId="5" priority="2" operator="containsText" text="F Not Recommended">
      <formula>NOT(ISERROR(SEARCH("F Not Recommended",B7)))</formula>
    </cfRule>
  </conditionalFormatting>
  <conditionalFormatting sqref="B13:D13">
    <cfRule type="containsText" dxfId="4" priority="3" operator="containsText" text="Not Recommended">
      <formula>NOT(ISERROR(SEARCH("Not Recommended",B13)))</formula>
    </cfRule>
  </conditionalFormatting>
  <conditionalFormatting sqref="B18:D18">
    <cfRule type="containsText" dxfId="3" priority="1" operator="containsText" text="Inefficient.">
      <formula>NOT(ISERROR(SEARCH("Inefficient.",B18)))</formula>
    </cfRule>
    <cfRule type="containsText" dxfId="2" priority="4" operator="containsText" text="Not Recommended">
      <formula>NOT(ISERROR(SEARCH("Not Recommended",B18)))</formula>
    </cfRule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18080D-97AB-43BD-8130-240C08278C7B}">
  <sheetPr>
    <tabColor theme="7" tint="0.79998168889431442"/>
  </sheetPr>
  <dimension ref="A1:K44"/>
  <sheetViews>
    <sheetView zoomScaleNormal="100" workbookViewId="0">
      <selection activeCell="B17" sqref="B17"/>
    </sheetView>
  </sheetViews>
  <sheetFormatPr defaultColWidth="9.140625" defaultRowHeight="14.45"/>
  <cols>
    <col min="1" max="1" width="58.7109375" style="13" customWidth="1"/>
    <col min="2" max="2" width="26.42578125" style="13" customWidth="1"/>
    <col min="3" max="3" width="25.85546875" style="13" customWidth="1"/>
    <col min="4" max="4" width="22.7109375" style="13" bestFit="1" customWidth="1"/>
    <col min="5" max="5" width="22.7109375" style="13" customWidth="1"/>
    <col min="6" max="6" width="15.5703125" style="13" bestFit="1" customWidth="1"/>
    <col min="7" max="7" width="27.7109375" style="13" bestFit="1" customWidth="1"/>
    <col min="8" max="8" width="26.140625" style="13" bestFit="1" customWidth="1"/>
    <col min="9" max="9" width="8.5703125" style="13" bestFit="1" customWidth="1"/>
    <col min="10" max="10" width="15.5703125" style="13" bestFit="1" customWidth="1"/>
    <col min="11" max="11" width="15.140625" style="13" bestFit="1" customWidth="1"/>
    <col min="12" max="16384" width="9.140625" style="13"/>
  </cols>
  <sheetData>
    <row r="1" spans="1:5" ht="15" thickBot="1">
      <c r="A1" s="351" t="s">
        <v>68</v>
      </c>
      <c r="B1" s="351"/>
      <c r="C1" s="351"/>
      <c r="D1" s="351"/>
    </row>
    <row r="2" spans="1:5">
      <c r="A2" s="377" t="s">
        <v>69</v>
      </c>
      <c r="B2" s="375" t="str">
        <f>Summary!B4</f>
        <v>Option 1</v>
      </c>
      <c r="C2" s="375" t="str">
        <f>Summary!C4</f>
        <v>Option 2</v>
      </c>
      <c r="D2" s="375" t="str">
        <f>Summary!D4</f>
        <v>Option 3</v>
      </c>
    </row>
    <row r="3" spans="1:5" ht="15" thickBot="1">
      <c r="A3" s="378"/>
      <c r="B3" s="376"/>
      <c r="C3" s="376"/>
      <c r="D3" s="376"/>
    </row>
    <row r="4" spans="1:5">
      <c r="A4" s="9" t="s">
        <v>117</v>
      </c>
      <c r="B4" s="62">
        <f>Summary!B20</f>
        <v>65</v>
      </c>
      <c r="C4" s="150">
        <f>Summary!C20</f>
        <v>0</v>
      </c>
      <c r="D4" s="62">
        <f>Summary!D20</f>
        <v>0</v>
      </c>
    </row>
    <row r="5" spans="1:5" ht="15" thickBot="1">
      <c r="A5" s="11" t="s">
        <v>118</v>
      </c>
      <c r="B5" s="8" t="str">
        <f>_xlfn.XLOOKUP(B6,Data!$B$70:$B$83,Data!$D$70:$D$83,,-1,1)</f>
        <v>LOS B-</v>
      </c>
      <c r="C5" s="151" t="str">
        <f>_xlfn.XLOOKUP(C6,Data!$B$70:$B$83,Data!$D$70:$D$83,,-1,1)</f>
        <v>F Not Recommended</v>
      </c>
      <c r="D5" s="8" t="str">
        <f>_xlfn.XLOOKUP(D6,Data!$B$70:$B$83,Data!$D$70:$D$83,,-1,1)</f>
        <v>F Not Recommended</v>
      </c>
    </row>
    <row r="6" spans="1:5" ht="15" thickBot="1">
      <c r="A6" s="148" t="s">
        <v>79</v>
      </c>
      <c r="B6" s="149">
        <f>Data!A222</f>
        <v>85</v>
      </c>
      <c r="C6" s="149">
        <f>Data!C222</f>
        <v>0</v>
      </c>
      <c r="D6" s="149">
        <f>Data!E222</f>
        <v>0</v>
      </c>
    </row>
    <row r="7" spans="1:5" ht="15" thickBot="1"/>
    <row r="8" spans="1:5" ht="15" thickBot="1">
      <c r="A8" s="177" t="s">
        <v>69</v>
      </c>
      <c r="B8" s="178"/>
      <c r="C8" s="178"/>
      <c r="D8" s="178"/>
      <c r="E8" s="3"/>
    </row>
    <row r="9" spans="1:5">
      <c r="A9" s="9" t="s">
        <v>119</v>
      </c>
      <c r="B9" s="14" t="str">
        <f>Summary!B21</f>
        <v>10'-6" (7'-6" CLR)</v>
      </c>
      <c r="C9" s="146">
        <f>Summary!C21</f>
        <v>0</v>
      </c>
      <c r="D9" s="14">
        <f>Summary!D21</f>
        <v>0</v>
      </c>
      <c r="E9" s="3"/>
    </row>
    <row r="10" spans="1:5" ht="15" thickBot="1">
      <c r="A10" s="11" t="s">
        <v>120</v>
      </c>
      <c r="B10" s="10" t="str">
        <f>_xlfn.XLOOKUP(B11,Data!$C$226:$C$250,Data!$D$226:$D$250,1)</f>
        <v>C</v>
      </c>
      <c r="C10" s="152">
        <f>_xlfn.XLOOKUP(C11,Data!$C$226:$C$250,Data!$D$226:$D$250,1)</f>
        <v>1</v>
      </c>
      <c r="D10" s="10">
        <f>_xlfn.XLOOKUP(D11,Data!$C$226:$C$250,Data!$D$226:$D$250,1)</f>
        <v>1</v>
      </c>
      <c r="E10" s="3"/>
    </row>
    <row r="11" spans="1:5" ht="15" thickBot="1">
      <c r="A11" s="148" t="s">
        <v>82</v>
      </c>
      <c r="B11" s="149">
        <f>_xlfn.XLOOKUP(B9,Data!$B$226:$B$250,Data!$C$226:$C$250,1)</f>
        <v>77</v>
      </c>
      <c r="C11" s="149">
        <f>_xlfn.XLOOKUP(C9,Data!$B$226:$B$250,Data!$C$226:$C$250,1)</f>
        <v>1</v>
      </c>
      <c r="D11" s="149">
        <f>_xlfn.XLOOKUP(D9,Data!$B$226:$B$250,Data!$C$226:$C$250,1)</f>
        <v>1</v>
      </c>
      <c r="E11" s="3"/>
    </row>
    <row r="12" spans="1:5" ht="15" thickBot="1"/>
    <row r="13" spans="1:5" ht="15" thickBot="1">
      <c r="A13" s="371" t="s">
        <v>121</v>
      </c>
      <c r="B13" s="372"/>
      <c r="C13" s="372"/>
      <c r="D13" s="373"/>
    </row>
    <row r="14" spans="1:5">
      <c r="A14" s="64" t="s">
        <v>122</v>
      </c>
      <c r="B14" s="62">
        <f>B6*0.6</f>
        <v>51</v>
      </c>
      <c r="C14" s="150">
        <f>C6*0.6</f>
        <v>0</v>
      </c>
      <c r="D14" s="62">
        <f>D6*0.6</f>
        <v>0</v>
      </c>
    </row>
    <row r="15" spans="1:5" ht="15" thickBot="1">
      <c r="A15" s="65" t="s">
        <v>123</v>
      </c>
      <c r="B15" s="54">
        <f>B11*0.4</f>
        <v>30.8</v>
      </c>
      <c r="C15" s="153">
        <f>C11*0.4</f>
        <v>0.4</v>
      </c>
      <c r="D15" s="54">
        <f>D11*0.4</f>
        <v>0.4</v>
      </c>
      <c r="E15" s="3"/>
    </row>
    <row r="16" spans="1:5">
      <c r="A16" s="169" t="s">
        <v>124</v>
      </c>
      <c r="B16" s="150">
        <f>SUM(B14:B15)</f>
        <v>81.8</v>
      </c>
      <c r="C16" s="150">
        <f>SUM(C14:C15)</f>
        <v>0.4</v>
      </c>
      <c r="D16" s="150">
        <f>SUM(D14:D15)</f>
        <v>0.4</v>
      </c>
      <c r="E16" s="3"/>
    </row>
    <row r="17" spans="1:11" ht="15" thickBot="1">
      <c r="A17" s="170" t="s">
        <v>125</v>
      </c>
      <c r="B17" s="147" t="str">
        <f>_xlfn.XLOOKUP(B16,Data!$B$70:$B$83,Data!$D$70:$D$83,,-1,1)</f>
        <v xml:space="preserve">LOS C </v>
      </c>
      <c r="C17" s="147" t="str">
        <f>_xlfn.XLOOKUP(C16,Data!$B$70:$B$83,Data!$D$70:$D$83,,-1,1)</f>
        <v>F Not Recommended</v>
      </c>
      <c r="D17" s="147" t="str">
        <f>_xlfn.XLOOKUP(D16,Data!$B$70:$B$83,Data!$D$70:$D$83,,-1,1)</f>
        <v>F Not Recommended</v>
      </c>
      <c r="E17" s="3"/>
    </row>
    <row r="18" spans="1:11" ht="15" thickBot="1">
      <c r="A18" s="56"/>
      <c r="B18" s="3"/>
      <c r="C18" s="3"/>
      <c r="D18" s="3"/>
      <c r="E18" s="3"/>
    </row>
    <row r="19" spans="1:11" ht="15" thickBot="1">
      <c r="A19" s="370" t="s">
        <v>126</v>
      </c>
      <c r="B19" s="370"/>
      <c r="C19" s="370"/>
      <c r="D19" s="370"/>
      <c r="E19" s="3"/>
    </row>
    <row r="20" spans="1:11">
      <c r="A20" s="61" t="s">
        <v>127</v>
      </c>
      <c r="B20" s="77" t="str">
        <f>IF(Summary!$B$23= "Single Space Detection System", 5%,"None")</f>
        <v>None</v>
      </c>
      <c r="C20" s="154" t="str">
        <f>IF(Summary!$C$23= "Single Space Detection System", 5%,"None")</f>
        <v>None</v>
      </c>
      <c r="D20" s="77" t="str">
        <f>IF(Summary!$D$23= "Single Space Detection System", 5%,"None")</f>
        <v>None</v>
      </c>
      <c r="E20" s="3"/>
    </row>
    <row r="21" spans="1:11">
      <c r="A21" s="61" t="s">
        <v>128</v>
      </c>
      <c r="B21" s="77" t="str">
        <f>IF(Summary!$B$23= "Level Count System",3%,"None")</f>
        <v>None</v>
      </c>
      <c r="C21" s="154" t="str">
        <f>IF(Summary!$C$23=  "Level Count System",3%,"None")</f>
        <v>None</v>
      </c>
      <c r="D21" s="77" t="str">
        <f>IF(Summary!$D$23= "Level Count System",3%,"None")</f>
        <v>None</v>
      </c>
      <c r="E21" s="3"/>
    </row>
    <row r="22" spans="1:11">
      <c r="A22" s="61" t="s">
        <v>129</v>
      </c>
      <c r="B22" s="77" t="str">
        <f>IF(Summary!$B$23= "Facility Count System", 2%,"None")</f>
        <v>None</v>
      </c>
      <c r="C22" s="154" t="str">
        <f>IF(Summary!$C$23= "Facility Count System", 2%,"None")</f>
        <v>None</v>
      </c>
      <c r="D22" s="77" t="str">
        <f>IF(Summary!$D$23= "Facility Count System",2%,"None")</f>
        <v>None</v>
      </c>
      <c r="E22" s="3"/>
    </row>
    <row r="23" spans="1:11">
      <c r="A23" s="61" t="s">
        <v>130</v>
      </c>
      <c r="B23" s="77">
        <f>IF(Summary!B24="YES",1%, "None")</f>
        <v>0.01</v>
      </c>
      <c r="C23" s="154" t="str">
        <f>IF(Summary!C24="YES",1%, "None")</f>
        <v>None</v>
      </c>
      <c r="D23" s="77" t="str">
        <f>IF(Summary!D24="YES",1%, "None")</f>
        <v>None</v>
      </c>
      <c r="E23" s="3"/>
    </row>
    <row r="24" spans="1:11">
      <c r="A24" s="61" t="s">
        <v>131</v>
      </c>
      <c r="B24" s="77">
        <f>IF(Summary!B25="YES",3%, "None")</f>
        <v>0.03</v>
      </c>
      <c r="C24" s="77" t="str">
        <f>IF(Summary!C25="YES",3%, "None")</f>
        <v>None</v>
      </c>
      <c r="D24" s="77" t="str">
        <f>IF(Summary!D25="YES",3%, "None")</f>
        <v>None</v>
      </c>
      <c r="E24" s="3"/>
    </row>
    <row r="25" spans="1:11">
      <c r="A25" s="61" t="s">
        <v>132</v>
      </c>
      <c r="B25" s="8" t="str">
        <f>Summary!B22</f>
        <v>Precast</v>
      </c>
      <c r="C25" s="151">
        <f>Summary!C22</f>
        <v>0</v>
      </c>
      <c r="D25" s="8">
        <f>Summary!D22</f>
        <v>0</v>
      </c>
      <c r="E25" s="3"/>
    </row>
    <row r="26" spans="1:11">
      <c r="A26" s="61" t="s">
        <v>133</v>
      </c>
      <c r="B26" s="77" t="str">
        <f>IF(B25="Precast","None",IF(Summary!B26="Cable Rails",1%,IF(Summary!B26="Walls",0%,"None")))</f>
        <v>None</v>
      </c>
      <c r="C26" s="154" t="str">
        <f>IF(C25="Precast","None",IF(Summary!C26="Cable Rails",1%,IF(Summary!C26="Walls",0%,"None")))</f>
        <v>None</v>
      </c>
      <c r="D26" s="77" t="str">
        <f>IF(D25="Precast","None",IF(Summary!D26="Cable Rails",1%,IF(Summary!D26="Walls",0%,"None")))</f>
        <v>None</v>
      </c>
      <c r="E26" s="3"/>
    </row>
    <row r="27" spans="1:11" ht="30.75" customHeight="1">
      <c r="A27" s="196" t="s">
        <v>134</v>
      </c>
      <c r="B27" s="77">
        <f>IF(B25="Cast-In-Place","None",IF(Summary!B27="Not Precast","None",IF(Summary!B27="Exterior",1%,IF(Summary!B27="Interior",-1%,IF(Summary!B27="End Bays",-2%)))))</f>
        <v>-0.02</v>
      </c>
      <c r="C27" s="154" t="b">
        <f>IF(C25="Cast-In-Place","None",IF(Summary!C27="Not Precast","None",IF(Summary!C27="Exterior",1%,IF(Summary!C27="Interior",-1%,IF(Summary!C27="End Bays",-2%)))))</f>
        <v>0</v>
      </c>
      <c r="D27" s="77" t="b">
        <f>IF(D25="Cast-In-Place","None",IF(Summary!D27="Not Precast","None",IF(Summary!D27="Exterior",1%,IF(Summary!D27="Interior",-1%,IF(Summary!D27="End Bays",-2%)))))</f>
        <v>0</v>
      </c>
      <c r="E27" s="3"/>
      <c r="F27" s="3"/>
      <c r="G27" s="3"/>
      <c r="H27" s="3"/>
      <c r="I27" s="3"/>
      <c r="J27" s="3"/>
      <c r="K27" s="3"/>
    </row>
    <row r="28" spans="1:11" ht="30.75" hidden="1" customHeight="1" thickBot="1">
      <c r="A28" s="196" t="s">
        <v>135</v>
      </c>
      <c r="B28" s="197"/>
      <c r="C28" s="154"/>
      <c r="D28" s="197"/>
      <c r="E28" s="173" t="s">
        <v>136</v>
      </c>
      <c r="F28" s="374" t="s">
        <v>137</v>
      </c>
      <c r="G28" s="374"/>
      <c r="H28" s="3"/>
      <c r="I28" s="3"/>
      <c r="J28" s="3"/>
      <c r="K28" s="3"/>
    </row>
    <row r="29" spans="1:11" ht="15" thickBot="1">
      <c r="A29" s="38" t="s">
        <v>91</v>
      </c>
      <c r="B29" s="195" t="str">
        <f>IF(Summary!B13="NO",-7%, "None")</f>
        <v>None</v>
      </c>
      <c r="C29" s="155" t="str">
        <f>IF(Summary!C13="NO",-7%, "None")</f>
        <v>None</v>
      </c>
      <c r="D29" s="195" t="str">
        <f>IF(Summary!D13="NO",-7%, "None")</f>
        <v>None</v>
      </c>
      <c r="E29" s="3"/>
      <c r="F29" s="3"/>
      <c r="G29" s="3"/>
      <c r="H29" s="3"/>
      <c r="I29" s="3"/>
      <c r="J29" s="3"/>
      <c r="K29" s="3"/>
    </row>
    <row r="30" spans="1:11" ht="15.75" customHeight="1" thickBot="1">
      <c r="A30" s="157" t="s">
        <v>138</v>
      </c>
      <c r="B30" s="156">
        <f>SUM(B20:B29)</f>
        <v>0.02</v>
      </c>
      <c r="C30" s="156">
        <f>SUM(C20:C29)</f>
        <v>0</v>
      </c>
      <c r="D30" s="156">
        <f>SUM(D20:D29)</f>
        <v>0</v>
      </c>
      <c r="E30" s="57"/>
      <c r="F30" s="57"/>
      <c r="G30" s="57"/>
      <c r="H30" s="3"/>
      <c r="I30" s="3"/>
      <c r="J30" s="3"/>
      <c r="K30" s="3"/>
    </row>
    <row r="31" spans="1:11" ht="15" thickBot="1">
      <c r="B31" s="15"/>
      <c r="C31" s="15"/>
      <c r="D31" s="15"/>
      <c r="E31" s="3"/>
      <c r="F31" s="3"/>
      <c r="G31" s="3"/>
      <c r="H31" s="3"/>
      <c r="I31" s="3"/>
      <c r="J31" s="3"/>
      <c r="K31" s="3"/>
    </row>
    <row r="32" spans="1:11">
      <c r="A32" s="174" t="s">
        <v>139</v>
      </c>
      <c r="B32" s="167">
        <f t="shared" ref="B32:C32" si="0">IF((B16+B16*B30)&gt;100,100,(B16+B16*B30))</f>
        <v>83.435999999999993</v>
      </c>
      <c r="C32" s="167">
        <f t="shared" si="0"/>
        <v>0.4</v>
      </c>
      <c r="D32" s="167">
        <f>IF((D16+D16*D30)&gt;100,100,(D16+D16*D30))</f>
        <v>0.4</v>
      </c>
      <c r="E32" s="374"/>
      <c r="F32" s="374"/>
      <c r="G32" s="374"/>
    </row>
    <row r="33" spans="1:5" ht="15" thickBot="1">
      <c r="A33" s="175" t="s">
        <v>140</v>
      </c>
      <c r="B33" s="168" t="str">
        <f>_xlfn.XLOOKUP(B32,Data!$B$70:$B$83,Data!$D$70:$D$83,,-1,1)</f>
        <v>LOS C+</v>
      </c>
      <c r="C33" s="168" t="str">
        <f>_xlfn.XLOOKUP(C32,Data!$B$70:$B$83,Data!$D$70:$D$83,,-1,1)</f>
        <v>F Not Recommended</v>
      </c>
      <c r="D33" s="168" t="str">
        <f>_xlfn.XLOOKUP(D32,Data!$B$70:$B$83,Data!$D$70:$D$83,,-1,1)</f>
        <v>F Not Recommended</v>
      </c>
      <c r="E33" s="3"/>
    </row>
    <row r="34" spans="1:5">
      <c r="E34" s="3"/>
    </row>
    <row r="35" spans="1:5">
      <c r="E35" s="3"/>
    </row>
    <row r="36" spans="1:5">
      <c r="E36" s="3"/>
    </row>
    <row r="37" spans="1:5">
      <c r="E37" s="3"/>
    </row>
    <row r="44" spans="1:5">
      <c r="D44" s="176"/>
      <c r="E44" s="176"/>
    </row>
  </sheetData>
  <mergeCells count="9">
    <mergeCell ref="A1:D1"/>
    <mergeCell ref="A19:D19"/>
    <mergeCell ref="A13:D13"/>
    <mergeCell ref="E32:G32"/>
    <mergeCell ref="B2:B3"/>
    <mergeCell ref="C2:C3"/>
    <mergeCell ref="D2:D3"/>
    <mergeCell ref="F28:G28"/>
    <mergeCell ref="A2:A3"/>
  </mergeCells>
  <conditionalFormatting sqref="B10:D10">
    <cfRule type="containsText" dxfId="1" priority="2" operator="containsText" text="Recommend">
      <formula>NOT(ISERROR(SEARCH("Recommend",B10)))</formula>
    </cfRule>
  </conditionalFormatting>
  <conditionalFormatting sqref="B29:D29">
    <cfRule type="containsText" dxfId="0" priority="1" operator="containsText" text="FALSE">
      <formula>NOT(ISERROR(SEARCH("FALSE",B29)))</formula>
    </cfRule>
  </conditionalFormatting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FA34FE-9A33-4D96-896D-5E397FD4779E}">
  <sheetPr>
    <tabColor theme="1"/>
  </sheetPr>
  <dimension ref="A1:L277"/>
  <sheetViews>
    <sheetView topLeftCell="A5" zoomScale="110" zoomScaleNormal="110" workbookViewId="0">
      <selection activeCell="C37" sqref="C37"/>
    </sheetView>
  </sheetViews>
  <sheetFormatPr defaultColWidth="9.140625" defaultRowHeight="14.45"/>
  <cols>
    <col min="1" max="1" width="38.85546875" style="3" bestFit="1" customWidth="1"/>
    <col min="2" max="2" width="26.28515625" style="3" bestFit="1" customWidth="1"/>
    <col min="3" max="3" width="29.42578125" style="3" bestFit="1" customWidth="1"/>
    <col min="4" max="4" width="25.140625" style="3" bestFit="1" customWidth="1"/>
    <col min="5" max="5" width="32.7109375" style="3" bestFit="1" customWidth="1"/>
    <col min="6" max="6" width="24.28515625" style="3" bestFit="1" customWidth="1"/>
    <col min="7" max="7" width="20.85546875" style="3" bestFit="1" customWidth="1"/>
    <col min="8" max="8" width="18.42578125" style="3" bestFit="1" customWidth="1"/>
    <col min="9" max="13" width="9.140625" style="3"/>
    <col min="14" max="14" width="15.5703125" style="3" customWidth="1"/>
    <col min="15" max="16384" width="9.140625" style="3"/>
  </cols>
  <sheetData>
    <row r="1" spans="1:5" ht="15" thickBot="1"/>
    <row r="2" spans="1:5">
      <c r="A2" s="14" t="s">
        <v>141</v>
      </c>
      <c r="B2" s="14" t="s">
        <v>142</v>
      </c>
    </row>
    <row r="3" spans="1:5">
      <c r="A3" s="8" t="s">
        <v>143</v>
      </c>
      <c r="B3" s="8" t="s">
        <v>144</v>
      </c>
    </row>
    <row r="4" spans="1:5">
      <c r="A4" s="8" t="s">
        <v>145</v>
      </c>
      <c r="B4" s="8" t="s">
        <v>146</v>
      </c>
    </row>
    <row r="5" spans="1:5">
      <c r="A5" s="8" t="s">
        <v>147</v>
      </c>
      <c r="B5" s="8" t="s">
        <v>148</v>
      </c>
    </row>
    <row r="6" spans="1:5">
      <c r="A6" s="8" t="s">
        <v>149</v>
      </c>
      <c r="B6" s="8" t="s">
        <v>150</v>
      </c>
    </row>
    <row r="7" spans="1:5" ht="15" thickBot="1">
      <c r="A7" s="21" t="s">
        <v>151</v>
      </c>
      <c r="B7" s="21" t="s">
        <v>152</v>
      </c>
    </row>
    <row r="8" spans="1:5" ht="15" thickBot="1">
      <c r="A8" s="20"/>
    </row>
    <row r="9" spans="1:5" ht="15" thickBot="1">
      <c r="A9" s="388" t="s">
        <v>153</v>
      </c>
      <c r="B9" s="390"/>
      <c r="C9" s="390"/>
      <c r="D9" s="390"/>
      <c r="E9" s="389"/>
    </row>
    <row r="10" spans="1:5" ht="15" thickBot="1">
      <c r="A10" s="97" t="s">
        <v>154</v>
      </c>
      <c r="B10" s="409" t="s">
        <v>155</v>
      </c>
      <c r="C10" s="409"/>
      <c r="D10" s="409" t="s">
        <v>156</v>
      </c>
      <c r="E10" s="409"/>
    </row>
    <row r="11" spans="1:5" ht="15" thickBot="1">
      <c r="A11" s="14"/>
      <c r="B11" s="90" t="s">
        <v>157</v>
      </c>
      <c r="C11" s="90" t="s">
        <v>158</v>
      </c>
      <c r="D11" s="90" t="s">
        <v>159</v>
      </c>
      <c r="E11" s="90" t="s">
        <v>158</v>
      </c>
    </row>
    <row r="12" spans="1:5">
      <c r="A12" s="8" t="s">
        <v>160</v>
      </c>
      <c r="B12" s="91">
        <v>0.05</v>
      </c>
      <c r="C12" s="91">
        <v>0.4</v>
      </c>
      <c r="D12" s="91">
        <v>0.4</v>
      </c>
      <c r="E12" s="91">
        <v>0.2</v>
      </c>
    </row>
    <row r="13" spans="1:5">
      <c r="A13" s="95" t="s">
        <v>161</v>
      </c>
      <c r="B13" s="92">
        <v>0.35</v>
      </c>
      <c r="C13" s="92">
        <v>0.5</v>
      </c>
      <c r="D13" s="92">
        <v>0.4</v>
      </c>
      <c r="E13" s="92">
        <v>0.35</v>
      </c>
    </row>
    <row r="14" spans="1:5">
      <c r="A14" s="8" t="s">
        <v>162</v>
      </c>
      <c r="B14" s="93">
        <v>0.5</v>
      </c>
      <c r="C14" s="93">
        <v>0.05</v>
      </c>
      <c r="D14" s="93">
        <v>0.1</v>
      </c>
      <c r="E14" s="93">
        <v>0.5</v>
      </c>
    </row>
    <row r="15" spans="1:5">
      <c r="A15" s="95" t="s">
        <v>163</v>
      </c>
      <c r="B15" s="92">
        <v>0.3</v>
      </c>
      <c r="C15" s="92">
        <v>0.4</v>
      </c>
      <c r="D15" s="92">
        <v>0.5</v>
      </c>
      <c r="E15" s="92">
        <v>0.5</v>
      </c>
    </row>
    <row r="16" spans="1:5">
      <c r="A16" s="8" t="s">
        <v>164</v>
      </c>
      <c r="B16" s="91">
        <v>0.35</v>
      </c>
      <c r="C16" s="91">
        <v>0.35</v>
      </c>
      <c r="D16" s="91">
        <v>0.5</v>
      </c>
      <c r="E16" s="91">
        <v>0.4</v>
      </c>
    </row>
    <row r="17" spans="1:9">
      <c r="A17" s="95" t="s">
        <v>165</v>
      </c>
      <c r="B17" s="92">
        <v>0.5</v>
      </c>
      <c r="C17" s="92">
        <v>0.3</v>
      </c>
      <c r="D17" s="92">
        <v>0.25</v>
      </c>
      <c r="E17" s="92">
        <v>0.6</v>
      </c>
    </row>
    <row r="18" spans="1:9">
      <c r="A18" s="8" t="s">
        <v>166</v>
      </c>
      <c r="B18" s="93">
        <v>0.9</v>
      </c>
      <c r="C18" s="93">
        <v>0.05</v>
      </c>
      <c r="D18" s="93">
        <v>0.05</v>
      </c>
      <c r="E18" s="93">
        <v>1</v>
      </c>
    </row>
    <row r="19" spans="1:9">
      <c r="A19" s="95" t="s">
        <v>9</v>
      </c>
      <c r="B19" s="92">
        <v>0.55000000000000004</v>
      </c>
      <c r="C19" s="92">
        <v>0.05</v>
      </c>
      <c r="D19" s="92">
        <v>0.1</v>
      </c>
      <c r="E19" s="92">
        <v>0.55000000000000004</v>
      </c>
    </row>
    <row r="20" spans="1:9">
      <c r="A20" s="120" t="s">
        <v>167</v>
      </c>
      <c r="B20" s="208">
        <v>0.4</v>
      </c>
      <c r="C20" s="208">
        <v>0.4</v>
      </c>
      <c r="D20" s="208">
        <v>0.4</v>
      </c>
      <c r="E20" s="208">
        <v>0.4</v>
      </c>
    </row>
    <row r="21" spans="1:9">
      <c r="A21" s="95" t="s">
        <v>168</v>
      </c>
      <c r="B21" s="92">
        <v>0.6</v>
      </c>
      <c r="C21" s="92">
        <v>0.1</v>
      </c>
      <c r="D21" s="92">
        <v>0.1</v>
      </c>
      <c r="E21" s="92">
        <v>0.6</v>
      </c>
    </row>
    <row r="22" spans="1:9">
      <c r="A22" s="8" t="s">
        <v>169</v>
      </c>
      <c r="B22" s="91">
        <v>0.7</v>
      </c>
      <c r="C22" s="91">
        <v>0.05</v>
      </c>
      <c r="D22" s="91">
        <v>0.25</v>
      </c>
      <c r="E22" s="91">
        <v>0.7</v>
      </c>
    </row>
    <row r="23" spans="1:9">
      <c r="A23" s="115" t="s">
        <v>170</v>
      </c>
      <c r="B23" s="209">
        <f>(((B20*100)*Summary!$H$6)+((Data!B21*100)*Summary!$H$7)+((Data!B22*100)*Summary!$H$8))/100</f>
        <v>0.6</v>
      </c>
      <c r="C23" s="209">
        <f>(((C20*100)*Summary!$H$6)+((Data!C21*100)*Summary!$H$7)+((Data!C22*100)*Summary!$H$8))/100</f>
        <v>0.15</v>
      </c>
      <c r="D23" s="209">
        <f>(((D20*100)*Summary!$H$6)+((Data!D21*100)*Summary!$H$7)+((Data!D22*100)*Summary!$H$8))/100</f>
        <v>0.25</v>
      </c>
      <c r="E23" s="209">
        <f>(((E20*100)*Summary!$H$6)+((Data!E21*100)*Summary!$H$7)+((Data!E22*100)*Summary!$H$8))/100</f>
        <v>0.6</v>
      </c>
      <c r="F23" s="206" t="s">
        <v>171</v>
      </c>
    </row>
    <row r="24" spans="1:9">
      <c r="A24" s="120" t="s">
        <v>172</v>
      </c>
      <c r="B24" s="208">
        <v>0.33</v>
      </c>
      <c r="C24" s="208">
        <v>0.33</v>
      </c>
      <c r="D24" s="208">
        <v>0.33</v>
      </c>
      <c r="E24" s="208">
        <v>0.33</v>
      </c>
    </row>
    <row r="25" spans="1:9">
      <c r="A25" s="95" t="s">
        <v>173</v>
      </c>
      <c r="B25" s="92">
        <v>0.5</v>
      </c>
      <c r="C25" s="92">
        <v>0.05</v>
      </c>
      <c r="D25" s="92">
        <v>0.1</v>
      </c>
      <c r="E25" s="92">
        <v>0.5</v>
      </c>
    </row>
    <row r="26" spans="1:9">
      <c r="A26" s="8" t="s">
        <v>174</v>
      </c>
      <c r="B26" s="93">
        <v>0.4</v>
      </c>
      <c r="C26" s="93">
        <v>0.2</v>
      </c>
      <c r="D26" s="93">
        <v>0.1</v>
      </c>
      <c r="E26" s="93">
        <v>0.4</v>
      </c>
    </row>
    <row r="27" spans="1:9">
      <c r="A27" s="115" t="s">
        <v>175</v>
      </c>
      <c r="B27" s="209">
        <f>(((Data!B24*100)*Summary!$K$6)+((Data!B25*100)*Summary!$K$7)+((Data!B26*100)*Summary!$K$8))/100</f>
        <v>0.45</v>
      </c>
      <c r="C27" s="209">
        <f>(((Data!C24*100)*Summary!$K$6)+((Data!C25*100)*Summary!$K$7)+((Data!C26*100)*Summary!$K$8))/100</f>
        <v>0.125</v>
      </c>
      <c r="D27" s="209">
        <f>(((Data!D24*100)*Summary!$K$6)+((Data!D25*100)*Summary!$K$7)+((Data!D26*100)*Summary!$K$8))/100</f>
        <v>0.1</v>
      </c>
      <c r="E27" s="209">
        <f>(((Data!E24*100)*Summary!$K$6)+((Data!E25*100)*Summary!$K$7)+((Data!E26*100)*Summary!$K$8))/100</f>
        <v>0.45</v>
      </c>
      <c r="F27" s="206" t="s">
        <v>171</v>
      </c>
      <c r="G27" s="13"/>
      <c r="H27" s="13"/>
      <c r="I27" s="13"/>
    </row>
    <row r="28" spans="1:9" ht="15" thickBot="1">
      <c r="A28" s="21" t="s">
        <v>176</v>
      </c>
      <c r="B28" s="207" t="s">
        <v>177</v>
      </c>
      <c r="C28" s="207" t="s">
        <v>178</v>
      </c>
      <c r="D28" s="207" t="s">
        <v>178</v>
      </c>
      <c r="E28" s="207" t="s">
        <v>178</v>
      </c>
      <c r="F28" s="206" t="s">
        <v>171</v>
      </c>
    </row>
    <row r="30" spans="1:9" ht="15" thickBot="1"/>
    <row r="31" spans="1:9" ht="15" thickBot="1">
      <c r="A31" s="388" t="s">
        <v>179</v>
      </c>
      <c r="B31" s="390"/>
      <c r="C31" s="390"/>
      <c r="D31" s="390"/>
      <c r="E31" s="390"/>
      <c r="F31" s="390"/>
      <c r="G31" s="389"/>
    </row>
    <row r="32" spans="1:9">
      <c r="A32" s="98"/>
      <c r="B32" s="94"/>
      <c r="C32" s="94" t="s">
        <v>180</v>
      </c>
      <c r="D32" s="94" t="s">
        <v>181</v>
      </c>
      <c r="E32" s="94" t="s">
        <v>182</v>
      </c>
      <c r="F32" s="94" t="s">
        <v>183</v>
      </c>
      <c r="G32" s="94" t="s">
        <v>184</v>
      </c>
    </row>
    <row r="33" spans="1:7">
      <c r="A33" s="99"/>
      <c r="B33" s="95" t="s">
        <v>185</v>
      </c>
      <c r="C33" s="95">
        <v>100</v>
      </c>
      <c r="D33" s="95">
        <f>(90+99)/2</f>
        <v>94.5</v>
      </c>
      <c r="E33" s="95">
        <f>(75+89)/2</f>
        <v>82</v>
      </c>
      <c r="F33" s="95">
        <f>(60+75)/2</f>
        <v>67.5</v>
      </c>
      <c r="G33" s="95"/>
    </row>
    <row r="34" spans="1:7">
      <c r="A34" s="99"/>
      <c r="B34" s="95"/>
      <c r="C34" s="95" t="s">
        <v>186</v>
      </c>
      <c r="D34" s="95" t="s">
        <v>145</v>
      </c>
      <c r="E34" s="95" t="s">
        <v>147</v>
      </c>
      <c r="F34" s="95" t="s">
        <v>149</v>
      </c>
      <c r="G34" s="95" t="s">
        <v>151</v>
      </c>
    </row>
    <row r="35" spans="1:7">
      <c r="A35" s="99"/>
      <c r="B35" s="95" t="s">
        <v>142</v>
      </c>
      <c r="C35" s="95" t="s">
        <v>144</v>
      </c>
      <c r="D35" s="95" t="s">
        <v>146</v>
      </c>
      <c r="E35" s="95" t="s">
        <v>148</v>
      </c>
      <c r="F35" s="95" t="s">
        <v>150</v>
      </c>
      <c r="G35" s="95" t="s">
        <v>152</v>
      </c>
    </row>
    <row r="36" spans="1:7" ht="15" thickBot="1">
      <c r="A36" s="100" t="s">
        <v>72</v>
      </c>
      <c r="B36" s="96" t="s">
        <v>187</v>
      </c>
      <c r="C36" s="96"/>
      <c r="D36" s="96"/>
      <c r="E36" s="96"/>
      <c r="F36" s="96"/>
      <c r="G36" s="96"/>
    </row>
    <row r="37" spans="1:7">
      <c r="A37" s="268" t="s">
        <v>188</v>
      </c>
      <c r="B37" s="272">
        <v>450</v>
      </c>
      <c r="C37" s="272" t="s">
        <v>189</v>
      </c>
      <c r="D37" s="272" t="s">
        <v>190</v>
      </c>
      <c r="E37" s="272" t="s">
        <v>191</v>
      </c>
      <c r="F37" s="272" t="s">
        <v>192</v>
      </c>
      <c r="G37" s="272" t="s">
        <v>193</v>
      </c>
    </row>
    <row r="38" spans="1:7">
      <c r="A38" s="277" t="s">
        <v>194</v>
      </c>
      <c r="B38" s="275">
        <v>800</v>
      </c>
      <c r="C38" s="275" t="s">
        <v>195</v>
      </c>
      <c r="D38" s="275" t="s">
        <v>196</v>
      </c>
      <c r="E38" s="275" t="s">
        <v>197</v>
      </c>
      <c r="F38" s="275" t="s">
        <v>198</v>
      </c>
      <c r="G38" s="275" t="s">
        <v>199</v>
      </c>
    </row>
    <row r="39" spans="1:7">
      <c r="A39" s="270" t="s">
        <v>20</v>
      </c>
      <c r="B39" s="274">
        <v>900</v>
      </c>
      <c r="C39" s="274" t="s">
        <v>200</v>
      </c>
      <c r="D39" s="274" t="s">
        <v>201</v>
      </c>
      <c r="E39" s="274" t="s">
        <v>202</v>
      </c>
      <c r="F39" s="274" t="s">
        <v>203</v>
      </c>
      <c r="G39" s="274" t="s">
        <v>204</v>
      </c>
    </row>
    <row r="40" spans="1:7">
      <c r="A40" s="277" t="s">
        <v>205</v>
      </c>
      <c r="B40" s="275">
        <v>1000</v>
      </c>
      <c r="C40" s="275" t="s">
        <v>206</v>
      </c>
      <c r="D40" s="275" t="s">
        <v>207</v>
      </c>
      <c r="E40" s="275" t="s">
        <v>208</v>
      </c>
      <c r="F40" s="275" t="s">
        <v>209</v>
      </c>
      <c r="G40" s="275" t="s">
        <v>210</v>
      </c>
    </row>
    <row r="41" spans="1:7">
      <c r="A41" s="270" t="s">
        <v>211</v>
      </c>
      <c r="B41" s="274">
        <f>B40*1.5</f>
        <v>1500</v>
      </c>
      <c r="C41" s="274" t="s">
        <v>212</v>
      </c>
      <c r="D41" s="274" t="s">
        <v>213</v>
      </c>
      <c r="E41" s="274" t="s">
        <v>214</v>
      </c>
      <c r="F41" s="274" t="s">
        <v>215</v>
      </c>
      <c r="G41" s="274" t="s">
        <v>216</v>
      </c>
    </row>
    <row r="42" spans="1:7">
      <c r="A42" s="277" t="s">
        <v>217</v>
      </c>
      <c r="B42" s="275">
        <f>B41*1.5</f>
        <v>2250</v>
      </c>
      <c r="C42" s="275" t="s">
        <v>218</v>
      </c>
      <c r="D42" s="275" t="s">
        <v>219</v>
      </c>
      <c r="E42" s="275" t="s">
        <v>220</v>
      </c>
      <c r="F42" s="275" t="s">
        <v>221</v>
      </c>
      <c r="G42" s="275" t="s">
        <v>222</v>
      </c>
    </row>
    <row r="43" spans="1:7">
      <c r="A43" s="270" t="s">
        <v>223</v>
      </c>
      <c r="B43" s="274">
        <v>2000</v>
      </c>
      <c r="C43" s="274" t="s">
        <v>224</v>
      </c>
      <c r="D43" s="274" t="s">
        <v>225</v>
      </c>
      <c r="E43" s="274" t="s">
        <v>226</v>
      </c>
      <c r="F43" s="274" t="s">
        <v>227</v>
      </c>
      <c r="G43" s="274" t="s">
        <v>228</v>
      </c>
    </row>
    <row r="44" spans="1:7" ht="15" thickBot="1">
      <c r="A44" s="278" t="s">
        <v>229</v>
      </c>
      <c r="B44" s="279">
        <v>900</v>
      </c>
      <c r="C44" s="279" t="s">
        <v>200</v>
      </c>
      <c r="D44" s="279" t="s">
        <v>201</v>
      </c>
      <c r="E44" s="279" t="s">
        <v>202</v>
      </c>
      <c r="F44" s="279" t="s">
        <v>203</v>
      </c>
      <c r="G44" s="279" t="s">
        <v>204</v>
      </c>
    </row>
    <row r="46" spans="1:7" ht="15" thickBot="1"/>
    <row r="47" spans="1:7" ht="15" thickBot="1">
      <c r="A47" s="4"/>
      <c r="B47" s="409" t="s">
        <v>230</v>
      </c>
      <c r="C47" s="409"/>
      <c r="D47" s="409"/>
      <c r="E47" s="409" t="s">
        <v>231</v>
      </c>
      <c r="F47" s="409"/>
      <c r="G47" s="409"/>
    </row>
    <row r="48" spans="1:7">
      <c r="A48" s="101"/>
      <c r="B48" s="413" t="s">
        <v>152</v>
      </c>
      <c r="C48" s="272">
        <v>0</v>
      </c>
      <c r="D48" s="272">
        <v>29.5</v>
      </c>
      <c r="E48" s="272">
        <v>100</v>
      </c>
      <c r="F48" s="273">
        <v>96.6</v>
      </c>
      <c r="G48" s="413" t="s">
        <v>152</v>
      </c>
    </row>
    <row r="49" spans="1:11">
      <c r="A49" s="101"/>
      <c r="B49" s="413"/>
      <c r="C49" s="274">
        <v>29.6</v>
      </c>
      <c r="D49" s="274">
        <v>59</v>
      </c>
      <c r="E49" s="274">
        <v>96.5</v>
      </c>
      <c r="F49" s="274">
        <v>93</v>
      </c>
      <c r="G49" s="413"/>
    </row>
    <row r="50" spans="1:11">
      <c r="A50" s="101"/>
      <c r="B50" s="414" t="s">
        <v>150</v>
      </c>
      <c r="C50" s="275">
        <v>59.1</v>
      </c>
      <c r="D50" s="275">
        <v>67</v>
      </c>
      <c r="E50" s="275">
        <v>92.9</v>
      </c>
      <c r="F50" s="275">
        <v>88.6</v>
      </c>
      <c r="G50" s="414" t="s">
        <v>150</v>
      </c>
    </row>
    <row r="51" spans="1:11">
      <c r="A51" s="101"/>
      <c r="B51" s="415"/>
      <c r="C51" s="275">
        <v>67.099999999999994</v>
      </c>
      <c r="D51" s="275">
        <v>74</v>
      </c>
      <c r="E51" s="275">
        <v>88.5</v>
      </c>
      <c r="F51" s="275">
        <v>85</v>
      </c>
      <c r="G51" s="415"/>
    </row>
    <row r="52" spans="1:11">
      <c r="A52" s="101"/>
      <c r="B52" s="410" t="s">
        <v>148</v>
      </c>
      <c r="C52" s="274">
        <v>74.099999999999994</v>
      </c>
      <c r="D52" s="274">
        <v>82</v>
      </c>
      <c r="E52" s="274">
        <v>84.9</v>
      </c>
      <c r="F52" s="274">
        <v>81</v>
      </c>
      <c r="G52" s="410" t="s">
        <v>148</v>
      </c>
    </row>
    <row r="53" spans="1:11">
      <c r="A53" s="101"/>
      <c r="B53" s="410"/>
      <c r="C53" s="274">
        <v>82.1</v>
      </c>
      <c r="D53" s="274">
        <v>89</v>
      </c>
      <c r="E53" s="274">
        <v>80.900000000000006</v>
      </c>
      <c r="F53" s="274">
        <v>77</v>
      </c>
      <c r="G53" s="410"/>
    </row>
    <row r="54" spans="1:11">
      <c r="A54" s="101"/>
      <c r="B54" s="411" t="s">
        <v>146</v>
      </c>
      <c r="C54" s="275">
        <v>89.1</v>
      </c>
      <c r="D54" s="275">
        <v>94.5</v>
      </c>
      <c r="E54" s="275">
        <v>76.400000000000006</v>
      </c>
      <c r="F54" s="275">
        <v>73.2</v>
      </c>
      <c r="G54" s="411" t="s">
        <v>146</v>
      </c>
    </row>
    <row r="55" spans="1:11">
      <c r="A55" s="101"/>
      <c r="B55" s="412"/>
      <c r="C55" s="275">
        <v>94.6</v>
      </c>
      <c r="D55" s="275">
        <v>99</v>
      </c>
      <c r="E55" s="275">
        <v>73.099999999999994</v>
      </c>
      <c r="F55" s="275">
        <v>70</v>
      </c>
      <c r="G55" s="412"/>
      <c r="K55" s="22"/>
    </row>
    <row r="56" spans="1:11">
      <c r="A56" s="101"/>
      <c r="B56" s="407" t="s">
        <v>144</v>
      </c>
      <c r="C56" s="274">
        <v>99.1</v>
      </c>
      <c r="D56" s="274">
        <v>100</v>
      </c>
      <c r="E56" s="274">
        <v>69.900000000000006</v>
      </c>
      <c r="F56" s="274">
        <v>35</v>
      </c>
      <c r="G56" s="407" t="s">
        <v>144</v>
      </c>
      <c r="K56" s="15"/>
    </row>
    <row r="57" spans="1:11" ht="15" thickBot="1">
      <c r="A57" s="101"/>
      <c r="B57" s="408"/>
      <c r="C57" s="276">
        <v>100.1</v>
      </c>
      <c r="D57" s="276">
        <v>1000</v>
      </c>
      <c r="E57" s="276">
        <v>34.9</v>
      </c>
      <c r="F57" s="276">
        <v>0</v>
      </c>
      <c r="G57" s="408"/>
      <c r="K57" s="15"/>
    </row>
    <row r="58" spans="1:11" ht="15" thickBot="1">
      <c r="A58" s="101"/>
      <c r="G58" s="7"/>
      <c r="K58" s="15"/>
    </row>
    <row r="59" spans="1:11" ht="15" thickBot="1">
      <c r="B59" s="388" t="s">
        <v>232</v>
      </c>
      <c r="C59" s="390"/>
      <c r="D59" s="390"/>
      <c r="E59" s="390"/>
      <c r="F59" s="390"/>
      <c r="G59" s="389"/>
      <c r="K59" s="15"/>
    </row>
    <row r="60" spans="1:11" ht="15" thickBot="1">
      <c r="B60" s="388" t="str">
        <f>Summary!B4</f>
        <v>Option 1</v>
      </c>
      <c r="C60" s="389"/>
      <c r="D60" s="388" t="str">
        <f>Summary!C4</f>
        <v>Option 2</v>
      </c>
      <c r="E60" s="389"/>
      <c r="F60" s="388" t="str">
        <f>Summary!D4</f>
        <v>Option 3</v>
      </c>
      <c r="G60" s="389"/>
      <c r="K60" s="15"/>
    </row>
    <row r="61" spans="1:11" ht="15.75" customHeight="1">
      <c r="B61" s="268" t="s">
        <v>233</v>
      </c>
      <c r="C61" s="269">
        <f>Ramping!B12*100</f>
        <v>83.955555555555563</v>
      </c>
      <c r="D61" s="268" t="s">
        <v>233</v>
      </c>
      <c r="E61" s="253" t="e">
        <f>Ramping!C12*100</f>
        <v>#N/A</v>
      </c>
      <c r="F61" s="268" t="s">
        <v>233</v>
      </c>
      <c r="G61" s="269" t="e">
        <f>Ramping!D12*100</f>
        <v>#N/A</v>
      </c>
      <c r="K61" s="15"/>
    </row>
    <row r="62" spans="1:11">
      <c r="B62" s="270" t="s">
        <v>234</v>
      </c>
      <c r="C62" s="257">
        <f>_xlfn.XLOOKUP(C61,$C$48:$C$57,$C$48:$C$57,,-1,1)</f>
        <v>82.1</v>
      </c>
      <c r="D62" s="270" t="s">
        <v>234</v>
      </c>
      <c r="E62" s="257" t="e">
        <f>_xlfn.XLOOKUP(E61,$C$48:$C$57,$C$48:$C$57,,-1,1)</f>
        <v>#N/A</v>
      </c>
      <c r="F62" s="270" t="s">
        <v>234</v>
      </c>
      <c r="G62" s="257" t="e">
        <f>_xlfn.XLOOKUP(G61,$C$48:$C$57,$C$48:$C$57,,-1,1)</f>
        <v>#N/A</v>
      </c>
      <c r="K62" s="15"/>
    </row>
    <row r="63" spans="1:11">
      <c r="B63" s="270" t="s">
        <v>235</v>
      </c>
      <c r="C63" s="257">
        <f>_xlfn.XLOOKUP(C61,$D$48:$D$57,$D$48:$D$57,,1,1)</f>
        <v>89</v>
      </c>
      <c r="D63" s="270" t="s">
        <v>235</v>
      </c>
      <c r="E63" s="257" t="e">
        <f>_xlfn.XLOOKUP(E61,$D$48:$D$57,$D$48:$D$57,,1,1)</f>
        <v>#N/A</v>
      </c>
      <c r="F63" s="270" t="s">
        <v>235</v>
      </c>
      <c r="G63" s="257" t="e">
        <f>_xlfn.XLOOKUP(G61,$D$48:$D$57,$D$48:$D$57,,1,1)</f>
        <v>#N/A</v>
      </c>
      <c r="K63" s="15"/>
    </row>
    <row r="64" spans="1:11">
      <c r="B64" s="270" t="s">
        <v>236</v>
      </c>
      <c r="C64" s="257">
        <f>VLOOKUP(C62,$C$48:$E$57,3)</f>
        <v>80.900000000000006</v>
      </c>
      <c r="D64" s="270" t="s">
        <v>236</v>
      </c>
      <c r="E64" s="257" t="e">
        <f>VLOOKUP(E62,$C$48:$E$57,3)</f>
        <v>#N/A</v>
      </c>
      <c r="F64" s="270" t="s">
        <v>236</v>
      </c>
      <c r="G64" s="257" t="e">
        <f>VLOOKUP(G62,$C$48:$E$57,3)</f>
        <v>#N/A</v>
      </c>
      <c r="K64" s="15"/>
    </row>
    <row r="65" spans="1:11" ht="15" thickBot="1">
      <c r="B65" s="271" t="s">
        <v>237</v>
      </c>
      <c r="C65" s="259">
        <f>VLOOKUP(C62,$C$48:$F$57,4)</f>
        <v>77</v>
      </c>
      <c r="D65" s="271" t="s">
        <v>237</v>
      </c>
      <c r="E65" s="259" t="e">
        <f>VLOOKUP(E62,$C$48:$F$57,4)</f>
        <v>#N/A</v>
      </c>
      <c r="F65" s="271" t="s">
        <v>237</v>
      </c>
      <c r="G65" s="259" t="e">
        <f>VLOOKUP(G62,$C$48:$F$57,4)</f>
        <v>#N/A</v>
      </c>
      <c r="K65" s="15"/>
    </row>
    <row r="66" spans="1:11" ht="15" thickBot="1">
      <c r="B66" s="388" t="s">
        <v>238</v>
      </c>
      <c r="C66" s="389"/>
      <c r="D66" s="388" t="s">
        <v>238</v>
      </c>
      <c r="E66" s="389"/>
      <c r="F66" s="388" t="s">
        <v>238</v>
      </c>
      <c r="G66" s="389"/>
    </row>
    <row r="67" spans="1:11" ht="29.45" thickBot="1">
      <c r="B67" s="172">
        <f>FORECAST(C61,C64:C65,C62:C63)</f>
        <v>79.851207729468598</v>
      </c>
      <c r="C67" s="109" t="s">
        <v>239</v>
      </c>
      <c r="D67" s="172" t="e">
        <f>FORECAST(E61,E64:E65,E62:E63)</f>
        <v>#N/A</v>
      </c>
      <c r="E67" s="109" t="s">
        <v>239</v>
      </c>
      <c r="F67" s="172" t="e">
        <f>FORECAST(G61,G64:G65,G62:G63)</f>
        <v>#N/A</v>
      </c>
      <c r="G67" s="109" t="s">
        <v>239</v>
      </c>
    </row>
    <row r="68" spans="1:11" ht="15" thickBot="1"/>
    <row r="69" spans="1:11" ht="15" thickBot="1">
      <c r="A69" s="388" t="s">
        <v>240</v>
      </c>
      <c r="B69" s="390"/>
      <c r="C69" s="390"/>
      <c r="D69" s="389"/>
      <c r="F69" s="90" t="s">
        <v>142</v>
      </c>
      <c r="G69" s="388" t="s">
        <v>241</v>
      </c>
      <c r="H69" s="389"/>
      <c r="I69" s="388" t="s">
        <v>242</v>
      </c>
      <c r="J69" s="389"/>
    </row>
    <row r="70" spans="1:11">
      <c r="A70" s="396" t="s">
        <v>243</v>
      </c>
      <c r="B70" s="252">
        <v>98.5</v>
      </c>
      <c r="C70" s="252">
        <v>100</v>
      </c>
      <c r="D70" s="253" t="s">
        <v>244</v>
      </c>
      <c r="F70" s="102" t="s">
        <v>152</v>
      </c>
      <c r="G70" s="260">
        <v>1</v>
      </c>
      <c r="H70" s="252">
        <v>3.5</v>
      </c>
      <c r="I70" s="260">
        <v>100</v>
      </c>
      <c r="J70" s="261">
        <v>93</v>
      </c>
    </row>
    <row r="71" spans="1:11">
      <c r="A71" s="396"/>
      <c r="B71" s="254">
        <v>94.6</v>
      </c>
      <c r="C71" s="254">
        <v>98.4</v>
      </c>
      <c r="D71" s="255" t="s">
        <v>245</v>
      </c>
      <c r="F71" s="103" t="s">
        <v>150</v>
      </c>
      <c r="G71" s="262">
        <v>3.6</v>
      </c>
      <c r="H71" s="254">
        <v>4.5</v>
      </c>
      <c r="I71" s="262">
        <v>92.9</v>
      </c>
      <c r="J71" s="263">
        <v>85</v>
      </c>
    </row>
    <row r="72" spans="1:11">
      <c r="A72" s="396"/>
      <c r="B72" s="256">
        <v>93</v>
      </c>
      <c r="C72" s="256">
        <v>94.5</v>
      </c>
      <c r="D72" s="257" t="s">
        <v>246</v>
      </c>
      <c r="F72" s="104" t="s">
        <v>148</v>
      </c>
      <c r="G72" s="264">
        <v>4.5999999999999996</v>
      </c>
      <c r="H72" s="256">
        <v>5.5</v>
      </c>
      <c r="I72" s="264">
        <v>84.9</v>
      </c>
      <c r="J72" s="265">
        <v>77</v>
      </c>
    </row>
    <row r="73" spans="1:11">
      <c r="A73" s="380" t="s">
        <v>247</v>
      </c>
      <c r="B73" s="256">
        <v>91.4</v>
      </c>
      <c r="C73" s="256">
        <v>92.9</v>
      </c>
      <c r="D73" s="257" t="s">
        <v>248</v>
      </c>
      <c r="F73" s="80" t="s">
        <v>146</v>
      </c>
      <c r="G73" s="262">
        <v>5.6</v>
      </c>
      <c r="H73" s="254">
        <v>6.5</v>
      </c>
      <c r="I73" s="262">
        <v>76.900000000000006</v>
      </c>
      <c r="J73" s="263">
        <v>70</v>
      </c>
    </row>
    <row r="74" spans="1:11" ht="15" thickBot="1">
      <c r="A74" s="380"/>
      <c r="B74" s="254">
        <v>86.6</v>
      </c>
      <c r="C74" s="254">
        <v>91.3</v>
      </c>
      <c r="D74" s="255" t="s">
        <v>249</v>
      </c>
      <c r="F74" s="105" t="s">
        <v>144</v>
      </c>
      <c r="G74" s="266">
        <v>6.6</v>
      </c>
      <c r="H74" s="258">
        <v>7.5</v>
      </c>
      <c r="I74" s="266">
        <v>69.900000000000006</v>
      </c>
      <c r="J74" s="267">
        <v>0</v>
      </c>
    </row>
    <row r="75" spans="1:11">
      <c r="A75" s="380"/>
      <c r="B75" s="256">
        <v>85</v>
      </c>
      <c r="C75" s="256">
        <v>86.5</v>
      </c>
      <c r="D75" s="257" t="s">
        <v>250</v>
      </c>
    </row>
    <row r="76" spans="1:11">
      <c r="A76" s="382" t="s">
        <v>251</v>
      </c>
      <c r="B76" s="256">
        <v>83.4</v>
      </c>
      <c r="C76" s="256">
        <v>84.9</v>
      </c>
      <c r="D76" s="257" t="s">
        <v>252</v>
      </c>
    </row>
    <row r="77" spans="1:11">
      <c r="A77" s="382"/>
      <c r="B77" s="254">
        <v>78.599999999999994</v>
      </c>
      <c r="C77" s="254">
        <v>83.3</v>
      </c>
      <c r="D77" s="255" t="s">
        <v>253</v>
      </c>
    </row>
    <row r="78" spans="1:11">
      <c r="A78" s="382"/>
      <c r="B78" s="256">
        <v>77</v>
      </c>
      <c r="C78" s="256">
        <v>78.5</v>
      </c>
      <c r="D78" s="257" t="s">
        <v>254</v>
      </c>
    </row>
    <row r="79" spans="1:11">
      <c r="A79" s="384" t="s">
        <v>255</v>
      </c>
      <c r="B79" s="256">
        <v>75.400000000000006</v>
      </c>
      <c r="C79" s="256">
        <v>76.900000000000006</v>
      </c>
      <c r="D79" s="257" t="s">
        <v>256</v>
      </c>
    </row>
    <row r="80" spans="1:11">
      <c r="A80" s="384"/>
      <c r="B80" s="254">
        <v>71.5</v>
      </c>
      <c r="C80" s="254">
        <v>75.3</v>
      </c>
      <c r="D80" s="255" t="s">
        <v>257</v>
      </c>
    </row>
    <row r="81" spans="1:11">
      <c r="A81" s="384"/>
      <c r="B81" s="256">
        <v>70</v>
      </c>
      <c r="C81" s="256">
        <v>71.5</v>
      </c>
      <c r="D81" s="257" t="s">
        <v>258</v>
      </c>
    </row>
    <row r="82" spans="1:11">
      <c r="A82" s="386" t="s">
        <v>259</v>
      </c>
      <c r="B82" s="256">
        <v>68.400000000000006</v>
      </c>
      <c r="C82" s="256">
        <v>69.900000000000006</v>
      </c>
      <c r="D82" s="257" t="s">
        <v>260</v>
      </c>
    </row>
    <row r="83" spans="1:11" ht="15" thickBot="1">
      <c r="A83" s="387"/>
      <c r="B83" s="258">
        <v>0</v>
      </c>
      <c r="C83" s="258">
        <v>68.3</v>
      </c>
      <c r="D83" s="259" t="s">
        <v>261</v>
      </c>
    </row>
    <row r="84" spans="1:11" ht="15" thickBot="1">
      <c r="B84" s="15"/>
    </row>
    <row r="85" spans="1:11" ht="15" thickBot="1">
      <c r="A85" s="388" t="s">
        <v>262</v>
      </c>
      <c r="B85" s="390"/>
      <c r="C85" s="390"/>
      <c r="D85" s="390"/>
      <c r="E85" s="390"/>
      <c r="F85" s="389"/>
    </row>
    <row r="86" spans="1:11" ht="15" thickBot="1">
      <c r="A86" s="388" t="str">
        <f>Summary!B4</f>
        <v>Option 1</v>
      </c>
      <c r="B86" s="389"/>
      <c r="C86" s="388" t="str">
        <f>Summary!C4</f>
        <v>Option 2</v>
      </c>
      <c r="D86" s="389"/>
      <c r="E86" s="388" t="str">
        <f>Summary!D4</f>
        <v>Option 3</v>
      </c>
      <c r="F86" s="389"/>
    </row>
    <row r="87" spans="1:11">
      <c r="A87" s="268" t="s">
        <v>233</v>
      </c>
      <c r="B87" s="269">
        <f>Ramping!B17</f>
        <v>3.5</v>
      </c>
      <c r="C87" s="268" t="s">
        <v>233</v>
      </c>
      <c r="D87" s="253">
        <f>Ramping!C17</f>
        <v>0</v>
      </c>
      <c r="E87" s="268" t="s">
        <v>233</v>
      </c>
      <c r="F87" s="253">
        <f>Ramping!D17</f>
        <v>0</v>
      </c>
    </row>
    <row r="88" spans="1:11">
      <c r="A88" s="270" t="s">
        <v>234</v>
      </c>
      <c r="B88" s="257">
        <f>_xlfn.XLOOKUP(B87,$G$70:$G$74,$G$70:$G$74,,-1,1)</f>
        <v>1</v>
      </c>
      <c r="C88" s="270" t="s">
        <v>234</v>
      </c>
      <c r="D88" s="257" t="e">
        <f>_xlfn.XLOOKUP(D87,$G$70:$G$74,$G$70:$G$74,,-1,1)</f>
        <v>#N/A</v>
      </c>
      <c r="E88" s="270" t="s">
        <v>234</v>
      </c>
      <c r="F88" s="257" t="e">
        <f>_xlfn.XLOOKUP(F87,$G$70:$G$74,$G$70:$G$74,,-1,1)</f>
        <v>#N/A</v>
      </c>
    </row>
    <row r="89" spans="1:11">
      <c r="A89" s="270" t="s">
        <v>235</v>
      </c>
      <c r="B89" s="257">
        <f>_xlfn.XLOOKUP(B87,$H$70:$H$74,$H$70:$H$74,,1,1)</f>
        <v>3.5</v>
      </c>
      <c r="C89" s="270" t="s">
        <v>235</v>
      </c>
      <c r="D89" s="257">
        <f>_xlfn.XLOOKUP(D87,$H$70:$H$74,$H$70:$H$74,,1,1)</f>
        <v>3.5</v>
      </c>
      <c r="E89" s="270" t="s">
        <v>235</v>
      </c>
      <c r="F89" s="257">
        <f>_xlfn.XLOOKUP(F87,$H$70:$H$74,$H$70:$H$74,,1,1)</f>
        <v>3.5</v>
      </c>
    </row>
    <row r="90" spans="1:11">
      <c r="A90" s="270" t="s">
        <v>236</v>
      </c>
      <c r="B90" s="257">
        <f>VLOOKUP(B88,$G$70:$I$74,3)</f>
        <v>100</v>
      </c>
      <c r="C90" s="270" t="s">
        <v>236</v>
      </c>
      <c r="D90" s="257" t="e">
        <f>VLOOKUP(D88,$G$70:$I$74,3)</f>
        <v>#N/A</v>
      </c>
      <c r="E90" s="270" t="s">
        <v>236</v>
      </c>
      <c r="F90" s="257" t="e">
        <f>VLOOKUP(F88,$G$70:$I$74,3)</f>
        <v>#N/A</v>
      </c>
    </row>
    <row r="91" spans="1:11" ht="15" thickBot="1">
      <c r="A91" s="271" t="s">
        <v>237</v>
      </c>
      <c r="B91" s="259">
        <f>VLOOKUP(B88,$G$70:$J$74,4)</f>
        <v>93</v>
      </c>
      <c r="C91" s="271" t="s">
        <v>237</v>
      </c>
      <c r="D91" s="259" t="e">
        <f>VLOOKUP(D88,$G$70:$J$74,4)</f>
        <v>#N/A</v>
      </c>
      <c r="E91" s="271" t="s">
        <v>237</v>
      </c>
      <c r="F91" s="259" t="e">
        <f>VLOOKUP(F88,$G$70:$J$74,4)</f>
        <v>#N/A</v>
      </c>
    </row>
    <row r="92" spans="1:11" ht="15" thickBot="1">
      <c r="A92" s="388" t="s">
        <v>238</v>
      </c>
      <c r="B92" s="389"/>
      <c r="C92" s="388" t="s">
        <v>238</v>
      </c>
      <c r="D92" s="389"/>
      <c r="E92" s="388" t="s">
        <v>238</v>
      </c>
      <c r="F92" s="389"/>
    </row>
    <row r="93" spans="1:11" ht="29.45" thickBot="1">
      <c r="A93" s="171">
        <f>FORECAST(B87,B90:B91,B88:B89)</f>
        <v>93</v>
      </c>
      <c r="B93" s="109" t="s">
        <v>239</v>
      </c>
      <c r="C93" s="171" t="e">
        <f>FORECAST(D87,D90:D91,D88:D89)</f>
        <v>#N/A</v>
      </c>
      <c r="D93" s="109" t="s">
        <v>239</v>
      </c>
      <c r="E93" s="171" t="e">
        <f>FORECAST(F87,F90:F91,F88:F89)</f>
        <v>#N/A</v>
      </c>
      <c r="F93" s="109" t="s">
        <v>239</v>
      </c>
    </row>
    <row r="95" spans="1:11" ht="15" thickBot="1">
      <c r="K95" s="15"/>
    </row>
    <row r="96" spans="1:11" ht="15" thickBot="1">
      <c r="B96" s="127" t="s">
        <v>142</v>
      </c>
      <c r="C96" s="400" t="s">
        <v>263</v>
      </c>
      <c r="D96" s="401"/>
      <c r="E96" s="400" t="s">
        <v>242</v>
      </c>
      <c r="F96" s="389"/>
      <c r="G96" s="398" t="s">
        <v>264</v>
      </c>
      <c r="H96" s="399"/>
      <c r="I96" s="399"/>
      <c r="K96" s="15"/>
    </row>
    <row r="97" spans="2:11">
      <c r="B97" s="396" t="s">
        <v>152</v>
      </c>
      <c r="C97" s="310">
        <v>0</v>
      </c>
      <c r="D97" s="311">
        <v>6.67</v>
      </c>
      <c r="E97" s="311">
        <v>100</v>
      </c>
      <c r="F97" s="312">
        <v>100</v>
      </c>
      <c r="G97" s="398"/>
      <c r="H97" s="399"/>
      <c r="I97" s="399"/>
      <c r="K97" s="15"/>
    </row>
    <row r="98" spans="2:11">
      <c r="B98" s="396"/>
      <c r="C98" s="313">
        <v>6.68</v>
      </c>
      <c r="D98" s="299">
        <v>7.33</v>
      </c>
      <c r="E98" s="301">
        <v>100</v>
      </c>
      <c r="F98" s="300">
        <v>96.6</v>
      </c>
      <c r="G98" s="398"/>
      <c r="H98" s="399"/>
      <c r="I98" s="399"/>
      <c r="K98" s="15"/>
    </row>
    <row r="99" spans="2:11">
      <c r="B99" s="397"/>
      <c r="C99" s="313">
        <v>7.34</v>
      </c>
      <c r="D99" s="299">
        <v>8</v>
      </c>
      <c r="E99" s="301">
        <v>96.5</v>
      </c>
      <c r="F99" s="300">
        <v>93</v>
      </c>
      <c r="G99" s="398"/>
      <c r="H99" s="399"/>
      <c r="I99" s="399"/>
      <c r="K99" s="15"/>
    </row>
    <row r="100" spans="2:11">
      <c r="B100" s="379" t="s">
        <v>150</v>
      </c>
      <c r="C100" s="302">
        <v>8.01</v>
      </c>
      <c r="D100" s="302">
        <v>9</v>
      </c>
      <c r="E100" s="304">
        <v>92.9</v>
      </c>
      <c r="F100" s="303">
        <v>88.6</v>
      </c>
      <c r="G100" s="398"/>
      <c r="H100" s="399"/>
      <c r="I100" s="399"/>
      <c r="K100" s="15"/>
    </row>
    <row r="101" spans="2:11">
      <c r="B101" s="381"/>
      <c r="C101" s="302">
        <v>9.01</v>
      </c>
      <c r="D101" s="302">
        <v>10</v>
      </c>
      <c r="E101" s="304">
        <v>88.5</v>
      </c>
      <c r="F101" s="303">
        <v>85</v>
      </c>
      <c r="K101" s="15"/>
    </row>
    <row r="102" spans="2:11">
      <c r="B102" s="393" t="s">
        <v>148</v>
      </c>
      <c r="C102" s="299">
        <v>10.01</v>
      </c>
      <c r="D102" s="299">
        <v>11</v>
      </c>
      <c r="E102" s="301">
        <v>84.9</v>
      </c>
      <c r="F102" s="300">
        <v>81</v>
      </c>
      <c r="K102" s="15"/>
    </row>
    <row r="103" spans="2:11">
      <c r="B103" s="394"/>
      <c r="C103" s="299">
        <v>11.01</v>
      </c>
      <c r="D103" s="299">
        <v>12</v>
      </c>
      <c r="E103" s="301">
        <v>80.900000000000006</v>
      </c>
      <c r="F103" s="300">
        <v>77</v>
      </c>
      <c r="K103" s="15"/>
    </row>
    <row r="104" spans="2:11">
      <c r="B104" s="383" t="s">
        <v>146</v>
      </c>
      <c r="C104" s="302">
        <v>12.01</v>
      </c>
      <c r="D104" s="302">
        <v>13.5</v>
      </c>
      <c r="E104" s="304">
        <v>76.400000000000006</v>
      </c>
      <c r="F104" s="303">
        <v>73.2</v>
      </c>
      <c r="K104" s="15"/>
    </row>
    <row r="105" spans="2:11">
      <c r="B105" s="385"/>
      <c r="C105" s="302">
        <v>13.51</v>
      </c>
      <c r="D105" s="302">
        <v>15</v>
      </c>
      <c r="E105" s="304">
        <v>73.099999999999994</v>
      </c>
      <c r="F105" s="303">
        <v>70</v>
      </c>
      <c r="K105" s="15"/>
    </row>
    <row r="106" spans="2:11">
      <c r="B106" s="395" t="s">
        <v>144</v>
      </c>
      <c r="C106" s="299">
        <v>15.01</v>
      </c>
      <c r="D106" s="299">
        <v>17.5</v>
      </c>
      <c r="E106" s="301">
        <v>69.900000000000006</v>
      </c>
      <c r="F106" s="300">
        <v>35</v>
      </c>
      <c r="H106" s="309" t="s">
        <v>265</v>
      </c>
      <c r="I106" s="423" t="s">
        <v>266</v>
      </c>
      <c r="J106" s="374"/>
    </row>
    <row r="107" spans="2:11" ht="15" thickBot="1">
      <c r="B107" s="387"/>
      <c r="C107" s="305">
        <v>17.510000000000002</v>
      </c>
      <c r="D107" s="305">
        <v>20</v>
      </c>
      <c r="E107" s="307">
        <v>34.9</v>
      </c>
      <c r="F107" s="306">
        <v>0</v>
      </c>
      <c r="H107" s="3" t="s">
        <v>267</v>
      </c>
      <c r="I107" s="374" t="s">
        <v>48</v>
      </c>
      <c r="J107" s="374"/>
    </row>
    <row r="108" spans="2:11" ht="15" thickBot="1">
      <c r="H108" s="3" t="s">
        <v>40</v>
      </c>
      <c r="I108" s="374" t="s">
        <v>268</v>
      </c>
      <c r="J108" s="374"/>
    </row>
    <row r="109" spans="2:11" ht="15" thickBot="1">
      <c r="B109" s="127" t="s">
        <v>142</v>
      </c>
      <c r="C109" s="422" t="s">
        <v>269</v>
      </c>
      <c r="D109" s="422"/>
      <c r="E109" s="400" t="s">
        <v>242</v>
      </c>
      <c r="F109" s="389"/>
    </row>
    <row r="110" spans="2:11">
      <c r="B110" s="396" t="s">
        <v>152</v>
      </c>
      <c r="C110" s="296">
        <v>4</v>
      </c>
      <c r="D110" s="296">
        <v>4.49</v>
      </c>
      <c r="E110" s="298">
        <v>100</v>
      </c>
      <c r="F110" s="297">
        <v>96.6</v>
      </c>
    </row>
    <row r="111" spans="2:11">
      <c r="B111" s="397"/>
      <c r="C111" s="299">
        <v>4.5</v>
      </c>
      <c r="D111" s="299">
        <v>5</v>
      </c>
      <c r="E111" s="301">
        <v>96.5</v>
      </c>
      <c r="F111" s="300">
        <v>93</v>
      </c>
    </row>
    <row r="112" spans="2:11">
      <c r="B112" s="379" t="s">
        <v>150</v>
      </c>
      <c r="C112" s="302">
        <v>5.01</v>
      </c>
      <c r="D112" s="302">
        <v>5.25</v>
      </c>
      <c r="E112" s="304">
        <v>92.9</v>
      </c>
      <c r="F112" s="303">
        <v>88.6</v>
      </c>
    </row>
    <row r="113" spans="1:12">
      <c r="B113" s="381"/>
      <c r="C113" s="302">
        <v>5.26</v>
      </c>
      <c r="D113" s="302">
        <v>5.5</v>
      </c>
      <c r="E113" s="304">
        <v>88.5</v>
      </c>
      <c r="F113" s="303">
        <v>85</v>
      </c>
    </row>
    <row r="114" spans="1:12">
      <c r="B114" s="393" t="s">
        <v>148</v>
      </c>
      <c r="C114" s="299">
        <v>5.51</v>
      </c>
      <c r="D114" s="299">
        <v>5.75</v>
      </c>
      <c r="E114" s="301">
        <v>84.9</v>
      </c>
      <c r="F114" s="300">
        <v>81</v>
      </c>
    </row>
    <row r="115" spans="1:12" ht="15" thickBot="1">
      <c r="B115" s="394"/>
      <c r="C115" s="299">
        <v>5.76</v>
      </c>
      <c r="D115" s="299">
        <v>6</v>
      </c>
      <c r="E115" s="301">
        <v>80.900000000000006</v>
      </c>
      <c r="F115" s="300">
        <v>77</v>
      </c>
    </row>
    <row r="116" spans="1:12" ht="15" thickBot="1">
      <c r="B116" s="384" t="s">
        <v>146</v>
      </c>
      <c r="C116" s="302">
        <v>6.01</v>
      </c>
      <c r="D116" s="302">
        <v>6.33</v>
      </c>
      <c r="E116" s="304">
        <v>76.400000000000006</v>
      </c>
      <c r="F116" s="303">
        <v>73.2</v>
      </c>
      <c r="H116" s="90" t="s">
        <v>96</v>
      </c>
      <c r="I116" s="110" t="s">
        <v>243</v>
      </c>
      <c r="J116" s="110" t="s">
        <v>247</v>
      </c>
      <c r="K116" s="110" t="s">
        <v>251</v>
      </c>
      <c r="L116" s="108" t="s">
        <v>255</v>
      </c>
    </row>
    <row r="117" spans="1:12">
      <c r="B117" s="384"/>
      <c r="C117" s="302">
        <v>6.34</v>
      </c>
      <c r="D117" s="302">
        <v>6.67</v>
      </c>
      <c r="E117" s="304">
        <v>73.099999999999994</v>
      </c>
      <c r="F117" s="303">
        <v>70</v>
      </c>
      <c r="H117" s="14" t="s">
        <v>270</v>
      </c>
      <c r="I117" s="3" t="s">
        <v>271</v>
      </c>
      <c r="J117" s="3" t="s">
        <v>36</v>
      </c>
      <c r="K117" s="3" t="s">
        <v>272</v>
      </c>
      <c r="L117" s="4" t="s">
        <v>273</v>
      </c>
    </row>
    <row r="118" spans="1:12">
      <c r="B118" s="395" t="s">
        <v>144</v>
      </c>
      <c r="C118" s="299">
        <v>6.68</v>
      </c>
      <c r="D118" s="299">
        <v>7</v>
      </c>
      <c r="E118" s="301">
        <v>0</v>
      </c>
      <c r="F118" s="300">
        <v>0</v>
      </c>
      <c r="H118" s="95" t="s">
        <v>274</v>
      </c>
      <c r="I118" s="111" t="s">
        <v>273</v>
      </c>
      <c r="J118" s="111" t="s">
        <v>275</v>
      </c>
      <c r="K118" s="111" t="s">
        <v>276</v>
      </c>
      <c r="L118" s="107" t="s">
        <v>277</v>
      </c>
    </row>
    <row r="119" spans="1:12" ht="15" thickBot="1">
      <c r="B119" s="387"/>
      <c r="C119" s="305">
        <v>7.01</v>
      </c>
      <c r="D119" s="305">
        <v>20</v>
      </c>
      <c r="E119" s="307">
        <v>0</v>
      </c>
      <c r="F119" s="306">
        <v>0</v>
      </c>
      <c r="H119" s="8" t="s">
        <v>278</v>
      </c>
      <c r="I119" s="3" t="s">
        <v>275</v>
      </c>
      <c r="J119" s="3" t="s">
        <v>276</v>
      </c>
      <c r="K119" s="3" t="s">
        <v>277</v>
      </c>
      <c r="L119" s="4" t="s">
        <v>279</v>
      </c>
    </row>
    <row r="120" spans="1:12" ht="15" thickBot="1">
      <c r="H120" s="95" t="s">
        <v>280</v>
      </c>
      <c r="I120" s="111" t="s">
        <v>281</v>
      </c>
      <c r="J120" s="111" t="s">
        <v>282</v>
      </c>
      <c r="K120" s="111" t="s">
        <v>283</v>
      </c>
      <c r="L120" s="107" t="s">
        <v>284</v>
      </c>
    </row>
    <row r="121" spans="1:12" ht="15" thickBot="1">
      <c r="A121" s="388" t="s">
        <v>285</v>
      </c>
      <c r="B121" s="390"/>
      <c r="C121" s="390"/>
      <c r="D121" s="390"/>
      <c r="E121" s="390"/>
      <c r="F121" s="389"/>
      <c r="H121" s="8" t="s">
        <v>286</v>
      </c>
      <c r="I121" s="3" t="s">
        <v>279</v>
      </c>
      <c r="J121" s="3" t="s">
        <v>287</v>
      </c>
      <c r="K121" s="3" t="s">
        <v>288</v>
      </c>
      <c r="L121" s="4" t="s">
        <v>289</v>
      </c>
    </row>
    <row r="122" spans="1:12" ht="15" thickBot="1">
      <c r="A122" s="388" t="str">
        <f>Summary!B4</f>
        <v>Option 1</v>
      </c>
      <c r="B122" s="389"/>
      <c r="C122" s="388" t="str">
        <f>Summary!C4</f>
        <v>Option 2</v>
      </c>
      <c r="D122" s="389"/>
      <c r="E122" s="388" t="str">
        <f>Summary!D4</f>
        <v>Option 3</v>
      </c>
      <c r="F122" s="389"/>
      <c r="H122" s="95" t="s">
        <v>290</v>
      </c>
      <c r="I122" s="111" t="s">
        <v>288</v>
      </c>
      <c r="J122" s="111" t="s">
        <v>289</v>
      </c>
      <c r="K122" s="111" t="s">
        <v>291</v>
      </c>
      <c r="L122" s="107" t="s">
        <v>292</v>
      </c>
    </row>
    <row r="123" spans="1:12">
      <c r="A123" s="268" t="s">
        <v>233</v>
      </c>
      <c r="B123" s="269">
        <f>Ramping!B22</f>
        <v>4.8600000000000003</v>
      </c>
      <c r="C123" s="268" t="s">
        <v>233</v>
      </c>
      <c r="D123" s="269">
        <f>Ramping!C22</f>
        <v>0</v>
      </c>
      <c r="E123" s="268" t="s">
        <v>233</v>
      </c>
      <c r="F123" s="269">
        <f>Ramping!D22</f>
        <v>0</v>
      </c>
      <c r="H123" s="8" t="s">
        <v>293</v>
      </c>
      <c r="I123" s="3" t="s">
        <v>294</v>
      </c>
      <c r="J123" s="3" t="s">
        <v>295</v>
      </c>
      <c r="K123" s="3" t="s">
        <v>296</v>
      </c>
      <c r="L123" s="4" t="s">
        <v>297</v>
      </c>
    </row>
    <row r="124" spans="1:12" ht="15" thickBot="1">
      <c r="A124" s="270" t="s">
        <v>234</v>
      </c>
      <c r="B124" s="257">
        <f>IF(ISNUMBER(SEARCH("Express Ramp",Ramping!B7)),_xlfn.XLOOKUP(B123,$C$97:$C$107,$C$97:$C$107,,-1,1),_xlfn.XLOOKUP(B123,$C$110:$C$119,$C$110:$C$119,,-1,1))</f>
        <v>4.5</v>
      </c>
      <c r="C124" s="270" t="s">
        <v>234</v>
      </c>
      <c r="D124" s="257" t="e">
        <f>IF(ISNUMBER(SEARCH("Express Ramp",Ramping!C7)),_xlfn.XLOOKUP(D123,$C$98:$C$107,$C$98:$C$107,,-1,1),_xlfn.XLOOKUP(D123,$C$110:$C$119,$C$110:$C$119,,-1,1))</f>
        <v>#N/A</v>
      </c>
      <c r="E124" s="270" t="s">
        <v>234</v>
      </c>
      <c r="F124" s="257" t="e">
        <f>IF(ISNUMBER(SEARCH("Express Ramp",Ramping!D7)),_xlfn.XLOOKUP(F123,$C$98:$C$107,$C$98:$C$107,,-1,1),_xlfn.XLOOKUP(F123,$C$110:$C$119,$C$110:$C$119,,-1,1))</f>
        <v>#N/A</v>
      </c>
      <c r="H124" s="96" t="s">
        <v>298</v>
      </c>
      <c r="I124" s="112" t="s">
        <v>292</v>
      </c>
      <c r="J124" s="112" t="s">
        <v>299</v>
      </c>
      <c r="K124" s="112" t="s">
        <v>300</v>
      </c>
      <c r="L124" s="106" t="s">
        <v>301</v>
      </c>
    </row>
    <row r="125" spans="1:12">
      <c r="A125" s="270" t="s">
        <v>235</v>
      </c>
      <c r="B125" s="257">
        <f>IF(ISNUMBER(SEARCH("Express Ramp",Ramping!B7)),_xlfn.XLOOKUP(B123,$D$97:$D$107,$D$97:$D$107,,1,1),_xlfn.XLOOKUP(B123,$D$110:$D$119,$D$110:$D$119,,1,1))</f>
        <v>5</v>
      </c>
      <c r="C125" s="270" t="s">
        <v>235</v>
      </c>
      <c r="D125" s="257">
        <f>IF(ISNUMBER(SEARCH("Express Ramp",Ramping!C7)),_xlfn.XLOOKUP(D123,$D$98:$D$107,$D$98:$D$107,,1,1),_xlfn.XLOOKUP(D123,$D$110:$D$119,$D$110:$D$119,,1,1))</f>
        <v>4.49</v>
      </c>
      <c r="E125" s="270" t="s">
        <v>235</v>
      </c>
      <c r="F125" s="257">
        <f>IF(ISNUMBER(SEARCH("Express Ramp",Ramping!D7)),_xlfn.XLOOKUP(F123,$D$98:$D$107,$D$98:$D$107,,1,1),_xlfn.XLOOKUP(F123,$D$110:$D$119,$D$110:$D$119,,1,1))</f>
        <v>4.49</v>
      </c>
    </row>
    <row r="126" spans="1:12">
      <c r="A126" s="270" t="s">
        <v>236</v>
      </c>
      <c r="B126" s="257">
        <f>IF(ISNUMBER(SEARCH("Express Ramp",Ramping!B7)),VLOOKUP(B124,$C$97:$E$107,3),VLOOKUP(B124,$C$110:$E$119,3))</f>
        <v>96.5</v>
      </c>
      <c r="C126" s="270" t="s">
        <v>236</v>
      </c>
      <c r="D126" s="257" t="e">
        <f>IF(ISNUMBER(SEARCH("Express Ramp",Ramping!C7)),VLOOKUP(D124,$C$98:$E$107,3),VLOOKUP(D124,$C$110:$E$119,3))</f>
        <v>#N/A</v>
      </c>
      <c r="E126" s="270" t="s">
        <v>236</v>
      </c>
      <c r="F126" s="257" t="e">
        <f>IF(ISNUMBER(SEARCH("Express Ramp",Ramping!D7)),VLOOKUP(F124,$C$98:$E$107,3),VLOOKUP(F124,$C$110:$E$119,3))</f>
        <v>#N/A</v>
      </c>
    </row>
    <row r="127" spans="1:12" ht="15" thickBot="1">
      <c r="A127" s="271" t="s">
        <v>237</v>
      </c>
      <c r="B127" s="259">
        <f>IF(ISNUMBER(SEARCH("Express Ramp",Ramping!B7)),VLOOKUP(B125,$C$97:$F$107,4),VLOOKUP(B125,$C$110:$F$119,4))</f>
        <v>93</v>
      </c>
      <c r="C127" s="271" t="s">
        <v>237</v>
      </c>
      <c r="D127" s="259">
        <f>IF(ISNUMBER(SEARCH("Express Ramp",Ramping!C7)),VLOOKUP(D125,$C$98:$F$107,4),VLOOKUP(D125,$C$110:$F$119,4))</f>
        <v>96.6</v>
      </c>
      <c r="E127" s="271" t="s">
        <v>237</v>
      </c>
      <c r="F127" s="259">
        <f>IF(ISNUMBER(SEARCH("Express Ramp",Ramping!D7)),VLOOKUP(F125,$C$98:$F$107,4),VLOOKUP(F125,$C$110:$F$119,4))</f>
        <v>96.6</v>
      </c>
    </row>
    <row r="128" spans="1:12">
      <c r="A128" s="391" t="s">
        <v>238</v>
      </c>
      <c r="B128" s="392"/>
      <c r="C128" s="391" t="s">
        <v>238</v>
      </c>
      <c r="D128" s="392"/>
      <c r="E128" s="391" t="s">
        <v>238</v>
      </c>
      <c r="F128" s="392"/>
    </row>
    <row r="129" spans="1:6" ht="29.45" thickBot="1">
      <c r="A129" s="171">
        <f>FORECAST(B123,B126:B127,B124:B125)</f>
        <v>93.97999999999999</v>
      </c>
      <c r="B129" s="109" t="s">
        <v>239</v>
      </c>
      <c r="C129" s="171" t="e">
        <f>FORECAST(D123,D126:D127,D124:D125)</f>
        <v>#N/A</v>
      </c>
      <c r="D129" s="109" t="s">
        <v>239</v>
      </c>
      <c r="E129" s="171" t="e">
        <f>FORECAST(F123,F126:F127,F124:F125)</f>
        <v>#N/A</v>
      </c>
      <c r="F129" s="109" t="s">
        <v>239</v>
      </c>
    </row>
    <row r="130" spans="1:6" ht="15" thickBot="1"/>
    <row r="131" spans="1:6" ht="15" thickBot="1">
      <c r="B131" s="388" t="s">
        <v>302</v>
      </c>
      <c r="C131" s="390"/>
      <c r="D131" s="390"/>
      <c r="E131" s="389"/>
    </row>
    <row r="132" spans="1:6" ht="15" thickBot="1">
      <c r="B132" s="90" t="s">
        <v>303</v>
      </c>
      <c r="C132" s="90" t="s">
        <v>304</v>
      </c>
      <c r="D132" s="409" t="s">
        <v>305</v>
      </c>
      <c r="E132" s="409"/>
    </row>
    <row r="133" spans="1:6">
      <c r="B133" s="116" t="s">
        <v>306</v>
      </c>
      <c r="C133" s="117">
        <v>100</v>
      </c>
      <c r="D133" s="406" t="s">
        <v>307</v>
      </c>
      <c r="E133" s="406"/>
    </row>
    <row r="134" spans="1:6">
      <c r="B134" s="121" t="s">
        <v>308</v>
      </c>
      <c r="C134" s="122">
        <v>100</v>
      </c>
      <c r="D134" s="406" t="s">
        <v>307</v>
      </c>
      <c r="E134" s="406"/>
    </row>
    <row r="135" spans="1:6">
      <c r="B135" s="25" t="s">
        <v>309</v>
      </c>
      <c r="C135" s="26">
        <v>100</v>
      </c>
      <c r="D135" s="406" t="s">
        <v>307</v>
      </c>
      <c r="E135" s="406"/>
    </row>
    <row r="136" spans="1:6">
      <c r="B136" s="121" t="s">
        <v>310</v>
      </c>
      <c r="C136" s="122">
        <v>100</v>
      </c>
      <c r="D136" s="406" t="s">
        <v>307</v>
      </c>
      <c r="E136" s="406"/>
    </row>
    <row r="137" spans="1:6">
      <c r="B137" s="25" t="s">
        <v>311</v>
      </c>
      <c r="C137" s="26">
        <v>100</v>
      </c>
      <c r="D137" s="406" t="s">
        <v>307</v>
      </c>
      <c r="E137" s="406"/>
    </row>
    <row r="138" spans="1:6">
      <c r="B138" s="121" t="s">
        <v>312</v>
      </c>
      <c r="C138" s="122">
        <v>100</v>
      </c>
      <c r="D138" s="406" t="s">
        <v>307</v>
      </c>
      <c r="E138" s="406"/>
    </row>
    <row r="139" spans="1:6">
      <c r="B139" s="25" t="s">
        <v>313</v>
      </c>
      <c r="C139" s="26">
        <v>100</v>
      </c>
      <c r="D139" s="406" t="s">
        <v>307</v>
      </c>
      <c r="E139" s="406"/>
    </row>
    <row r="140" spans="1:6">
      <c r="B140" s="121" t="s">
        <v>314</v>
      </c>
      <c r="C140" s="122">
        <v>100</v>
      </c>
      <c r="D140" s="406" t="s">
        <v>307</v>
      </c>
      <c r="E140" s="406"/>
    </row>
    <row r="141" spans="1:6">
      <c r="B141" s="25" t="s">
        <v>315</v>
      </c>
      <c r="C141" s="26">
        <v>100</v>
      </c>
      <c r="D141" s="406" t="s">
        <v>307</v>
      </c>
      <c r="E141" s="406"/>
    </row>
    <row r="142" spans="1:6" ht="33" customHeight="1">
      <c r="B142" s="121" t="s">
        <v>316</v>
      </c>
      <c r="C142" s="122">
        <v>100</v>
      </c>
      <c r="D142" s="428" t="s">
        <v>307</v>
      </c>
      <c r="E142" s="428"/>
    </row>
    <row r="143" spans="1:6" ht="15" thickBot="1">
      <c r="B143" s="8" t="s">
        <v>317</v>
      </c>
      <c r="C143" s="118">
        <v>100</v>
      </c>
      <c r="D143" s="406" t="s">
        <v>244</v>
      </c>
      <c r="E143" s="406"/>
      <c r="F143" s="15"/>
    </row>
    <row r="144" spans="1:6">
      <c r="B144" s="113" t="s">
        <v>318</v>
      </c>
      <c r="C144" s="123">
        <v>100</v>
      </c>
      <c r="D144" s="429" t="s">
        <v>244</v>
      </c>
      <c r="E144" s="429"/>
      <c r="F144" s="15"/>
    </row>
    <row r="145" spans="2:7">
      <c r="B145" s="25" t="s">
        <v>34</v>
      </c>
      <c r="C145" s="26">
        <v>98.4</v>
      </c>
      <c r="D145" s="406" t="s">
        <v>243</v>
      </c>
      <c r="E145" s="406"/>
      <c r="F145" s="15"/>
    </row>
    <row r="146" spans="2:7" ht="15" thickBot="1">
      <c r="B146" s="124" t="s">
        <v>319</v>
      </c>
      <c r="C146" s="125">
        <v>94.5</v>
      </c>
      <c r="D146" s="406" t="s">
        <v>246</v>
      </c>
      <c r="E146" s="406"/>
      <c r="F146" s="15"/>
    </row>
    <row r="147" spans="2:7">
      <c r="B147" s="24" t="s">
        <v>320</v>
      </c>
      <c r="C147" s="119">
        <v>92.9</v>
      </c>
      <c r="D147" s="418" t="s">
        <v>248</v>
      </c>
      <c r="E147" s="418"/>
      <c r="F147" s="15"/>
    </row>
    <row r="148" spans="2:7">
      <c r="B148" s="121" t="s">
        <v>321</v>
      </c>
      <c r="C148" s="122">
        <v>91.3</v>
      </c>
      <c r="D148" s="419" t="s">
        <v>247</v>
      </c>
      <c r="E148" s="419"/>
      <c r="F148" s="15"/>
    </row>
    <row r="149" spans="2:7" ht="15" thickBot="1">
      <c r="B149" s="120" t="s">
        <v>322</v>
      </c>
      <c r="C149" s="118">
        <v>86.5</v>
      </c>
      <c r="D149" s="419" t="s">
        <v>250</v>
      </c>
      <c r="E149" s="419"/>
      <c r="F149" s="15"/>
    </row>
    <row r="150" spans="2:7">
      <c r="B150" s="113" t="s">
        <v>323</v>
      </c>
      <c r="C150" s="123">
        <v>84.9</v>
      </c>
      <c r="D150" s="420" t="s">
        <v>252</v>
      </c>
      <c r="E150" s="420"/>
      <c r="F150" s="15"/>
    </row>
    <row r="151" spans="2:7">
      <c r="B151" s="25" t="s">
        <v>324</v>
      </c>
      <c r="C151" s="26">
        <v>83.3</v>
      </c>
      <c r="D151" s="403" t="s">
        <v>253</v>
      </c>
      <c r="E151" s="403"/>
      <c r="F151" s="15"/>
    </row>
    <row r="152" spans="2:7" ht="15" thickBot="1">
      <c r="B152" s="124" t="s">
        <v>325</v>
      </c>
      <c r="C152" s="125">
        <v>78.5</v>
      </c>
      <c r="D152" s="403" t="s">
        <v>254</v>
      </c>
      <c r="E152" s="403"/>
    </row>
    <row r="153" spans="2:7">
      <c r="B153" s="24" t="s">
        <v>326</v>
      </c>
      <c r="C153" s="119">
        <v>76.900000000000006</v>
      </c>
      <c r="D153" s="404" t="s">
        <v>256</v>
      </c>
      <c r="E153" s="404"/>
    </row>
    <row r="154" spans="2:7">
      <c r="B154" s="121" t="s">
        <v>327</v>
      </c>
      <c r="C154" s="122">
        <v>75.3</v>
      </c>
      <c r="D154" s="405" t="s">
        <v>257</v>
      </c>
      <c r="E154" s="405"/>
      <c r="F154" s="15"/>
    </row>
    <row r="155" spans="2:7" ht="15" thickBot="1">
      <c r="B155" s="114" t="s">
        <v>328</v>
      </c>
      <c r="C155" s="27">
        <v>71.5</v>
      </c>
      <c r="D155" s="416" t="s">
        <v>258</v>
      </c>
      <c r="E155" s="416"/>
      <c r="F155" s="15"/>
    </row>
    <row r="156" spans="2:7" ht="15" thickBot="1">
      <c r="B156" s="96" t="s">
        <v>329</v>
      </c>
      <c r="C156" s="126">
        <v>69.900000000000006</v>
      </c>
      <c r="D156" s="417" t="s">
        <v>330</v>
      </c>
      <c r="E156" s="417"/>
      <c r="F156" s="15"/>
    </row>
    <row r="157" spans="2:7" ht="15" thickBot="1">
      <c r="C157" s="19"/>
      <c r="D157" s="19"/>
      <c r="E157" s="15"/>
      <c r="F157" s="15"/>
    </row>
    <row r="158" spans="2:7" ht="15" thickBot="1">
      <c r="B158" s="388" t="s">
        <v>331</v>
      </c>
      <c r="C158" s="390"/>
      <c r="D158" s="389"/>
      <c r="E158" s="388" t="s">
        <v>332</v>
      </c>
      <c r="F158" s="390"/>
      <c r="G158" s="389"/>
    </row>
    <row r="159" spans="2:7" ht="33" customHeight="1">
      <c r="B159" s="430" t="s">
        <v>243</v>
      </c>
      <c r="C159" s="268">
        <v>33.340000000000003</v>
      </c>
      <c r="D159" s="280">
        <v>50</v>
      </c>
      <c r="E159" s="268">
        <v>100</v>
      </c>
      <c r="F159" s="253">
        <v>100</v>
      </c>
      <c r="G159" s="134" t="s">
        <v>333</v>
      </c>
    </row>
    <row r="160" spans="2:7">
      <c r="B160" s="413"/>
      <c r="C160" s="281">
        <v>32.67</v>
      </c>
      <c r="D160" s="282">
        <v>33.33</v>
      </c>
      <c r="E160" s="281">
        <v>98.5</v>
      </c>
      <c r="F160" s="283">
        <v>100</v>
      </c>
      <c r="G160" s="128" t="s">
        <v>334</v>
      </c>
    </row>
    <row r="161" spans="2:7">
      <c r="B161" s="413"/>
      <c r="C161" s="281">
        <v>32</v>
      </c>
      <c r="D161" s="282">
        <v>32.659999999999997</v>
      </c>
      <c r="E161" s="281">
        <v>94.6</v>
      </c>
      <c r="F161" s="283">
        <v>98.4</v>
      </c>
      <c r="G161" s="128" t="s">
        <v>152</v>
      </c>
    </row>
    <row r="162" spans="2:7">
      <c r="B162" s="413"/>
      <c r="C162" s="281">
        <v>31.33</v>
      </c>
      <c r="D162" s="282">
        <v>31.99</v>
      </c>
      <c r="E162" s="281">
        <v>93</v>
      </c>
      <c r="F162" s="283">
        <v>94.5</v>
      </c>
      <c r="G162" s="128" t="s">
        <v>335</v>
      </c>
    </row>
    <row r="163" spans="2:7">
      <c r="B163" s="414" t="s">
        <v>247</v>
      </c>
      <c r="C163" s="284">
        <v>30.67</v>
      </c>
      <c r="D163" s="285">
        <v>31.32</v>
      </c>
      <c r="E163" s="284">
        <v>91.4</v>
      </c>
      <c r="F163" s="286">
        <v>92.9</v>
      </c>
      <c r="G163" s="129" t="s">
        <v>336</v>
      </c>
    </row>
    <row r="164" spans="2:7">
      <c r="B164" s="427"/>
      <c r="C164" s="284">
        <v>30</v>
      </c>
      <c r="D164" s="285">
        <v>30.66</v>
      </c>
      <c r="E164" s="284">
        <v>86.6</v>
      </c>
      <c r="F164" s="286">
        <v>91.3</v>
      </c>
      <c r="G164" s="103" t="s">
        <v>337</v>
      </c>
    </row>
    <row r="165" spans="2:7">
      <c r="B165" s="415"/>
      <c r="C165" s="284">
        <v>29.33</v>
      </c>
      <c r="D165" s="285">
        <v>29.99</v>
      </c>
      <c r="E165" s="284">
        <v>85</v>
      </c>
      <c r="F165" s="286">
        <v>86.5</v>
      </c>
      <c r="G165" s="130" t="s">
        <v>338</v>
      </c>
    </row>
    <row r="166" spans="2:7">
      <c r="B166" s="410" t="s">
        <v>251</v>
      </c>
      <c r="C166" s="281">
        <v>28.67</v>
      </c>
      <c r="D166" s="282">
        <v>29.32</v>
      </c>
      <c r="E166" s="281">
        <v>83.4</v>
      </c>
      <c r="F166" s="283">
        <v>84.9</v>
      </c>
      <c r="G166" s="104" t="s">
        <v>339</v>
      </c>
    </row>
    <row r="167" spans="2:7">
      <c r="B167" s="410"/>
      <c r="C167" s="281">
        <v>28</v>
      </c>
      <c r="D167" s="282">
        <v>28.66</v>
      </c>
      <c r="E167" s="281">
        <v>78.599999999999994</v>
      </c>
      <c r="F167" s="283">
        <v>83.3</v>
      </c>
      <c r="G167" s="104" t="s">
        <v>340</v>
      </c>
    </row>
    <row r="168" spans="2:7">
      <c r="B168" s="410"/>
      <c r="C168" s="281">
        <v>27.33</v>
      </c>
      <c r="D168" s="282">
        <v>27.99</v>
      </c>
      <c r="E168" s="281">
        <v>77</v>
      </c>
      <c r="F168" s="283">
        <v>78.5</v>
      </c>
      <c r="G168" s="104" t="s">
        <v>341</v>
      </c>
    </row>
    <row r="169" spans="2:7">
      <c r="B169" s="411" t="s">
        <v>255</v>
      </c>
      <c r="C169" s="284">
        <v>26.67</v>
      </c>
      <c r="D169" s="285">
        <v>27.32</v>
      </c>
      <c r="E169" s="284">
        <v>75.400000000000006</v>
      </c>
      <c r="F169" s="286">
        <v>76.900000000000006</v>
      </c>
      <c r="G169" s="131" t="s">
        <v>342</v>
      </c>
    </row>
    <row r="170" spans="2:7">
      <c r="B170" s="405"/>
      <c r="C170" s="284">
        <v>26</v>
      </c>
      <c r="D170" s="285">
        <v>26.66</v>
      </c>
      <c r="E170" s="284">
        <v>71.5</v>
      </c>
      <c r="F170" s="286">
        <v>75.3</v>
      </c>
      <c r="G170" s="80" t="s">
        <v>343</v>
      </c>
    </row>
    <row r="171" spans="2:7">
      <c r="B171" s="412"/>
      <c r="C171" s="284">
        <v>25.33</v>
      </c>
      <c r="D171" s="285">
        <v>25.99</v>
      </c>
      <c r="E171" s="284">
        <v>70</v>
      </c>
      <c r="F171" s="286">
        <v>71.5</v>
      </c>
      <c r="G171" s="132" t="s">
        <v>344</v>
      </c>
    </row>
    <row r="172" spans="2:7">
      <c r="B172" s="407" t="s">
        <v>259</v>
      </c>
      <c r="C172" s="281">
        <v>24.67</v>
      </c>
      <c r="D172" s="282">
        <v>25.32</v>
      </c>
      <c r="E172" s="281">
        <v>68.400000000000006</v>
      </c>
      <c r="F172" s="283">
        <v>69.900000000000006</v>
      </c>
      <c r="G172" s="133" t="s">
        <v>260</v>
      </c>
    </row>
    <row r="173" spans="2:7" ht="15" thickBot="1">
      <c r="B173" s="408"/>
      <c r="C173" s="287">
        <v>0</v>
      </c>
      <c r="D173" s="288">
        <v>24.66</v>
      </c>
      <c r="E173" s="287">
        <v>0</v>
      </c>
      <c r="F173" s="289">
        <v>68.3</v>
      </c>
      <c r="G173" s="105" t="s">
        <v>261</v>
      </c>
    </row>
    <row r="174" spans="2:7" ht="15" thickBot="1"/>
    <row r="175" spans="2:7" ht="15" thickBot="1">
      <c r="B175" s="388" t="s">
        <v>345</v>
      </c>
      <c r="C175" s="390"/>
      <c r="D175" s="389"/>
      <c r="E175" s="388" t="s">
        <v>332</v>
      </c>
      <c r="F175" s="390"/>
      <c r="G175" s="389"/>
    </row>
    <row r="176" spans="2:7" ht="28.9">
      <c r="B176" s="402" t="s">
        <v>243</v>
      </c>
      <c r="C176" s="280">
        <v>23.34</v>
      </c>
      <c r="D176" s="280">
        <v>40</v>
      </c>
      <c r="E176" s="268">
        <v>100</v>
      </c>
      <c r="F176" s="253">
        <v>100</v>
      </c>
      <c r="G176" s="134" t="s">
        <v>333</v>
      </c>
    </row>
    <row r="177" spans="1:7">
      <c r="B177" s="396"/>
      <c r="C177" s="282">
        <v>22.67</v>
      </c>
      <c r="D177" s="282">
        <v>23.33</v>
      </c>
      <c r="E177" s="281">
        <v>98.5</v>
      </c>
      <c r="F177" s="283">
        <v>100</v>
      </c>
      <c r="G177" s="128" t="s">
        <v>334</v>
      </c>
    </row>
    <row r="178" spans="1:7">
      <c r="B178" s="396"/>
      <c r="C178" s="282">
        <v>22</v>
      </c>
      <c r="D178" s="282">
        <v>22.66</v>
      </c>
      <c r="E178" s="281">
        <v>94.6</v>
      </c>
      <c r="F178" s="283">
        <v>98.4</v>
      </c>
      <c r="G178" s="128" t="s">
        <v>152</v>
      </c>
    </row>
    <row r="179" spans="1:7">
      <c r="B179" s="396"/>
      <c r="C179" s="282">
        <v>21.33</v>
      </c>
      <c r="D179" s="282">
        <v>21.99</v>
      </c>
      <c r="E179" s="281">
        <v>93</v>
      </c>
      <c r="F179" s="283">
        <v>94.5</v>
      </c>
      <c r="G179" s="128" t="s">
        <v>335</v>
      </c>
    </row>
    <row r="180" spans="1:7">
      <c r="B180" s="379" t="s">
        <v>247</v>
      </c>
      <c r="C180" s="285">
        <v>20.67</v>
      </c>
      <c r="D180" s="285">
        <v>21.32</v>
      </c>
      <c r="E180" s="284">
        <v>91.4</v>
      </c>
      <c r="F180" s="286">
        <v>92.9</v>
      </c>
      <c r="G180" s="129" t="s">
        <v>336</v>
      </c>
    </row>
    <row r="181" spans="1:7">
      <c r="B181" s="380"/>
      <c r="C181" s="285">
        <v>20</v>
      </c>
      <c r="D181" s="285">
        <v>20.66</v>
      </c>
      <c r="E181" s="284">
        <v>86.6</v>
      </c>
      <c r="F181" s="286">
        <v>91.3</v>
      </c>
      <c r="G181" s="103" t="s">
        <v>337</v>
      </c>
    </row>
    <row r="182" spans="1:7">
      <c r="B182" s="381"/>
      <c r="C182" s="285">
        <v>19.329999999999998</v>
      </c>
      <c r="D182" s="285">
        <v>19.989999999999998</v>
      </c>
      <c r="E182" s="284">
        <v>85</v>
      </c>
      <c r="F182" s="286">
        <v>86.5</v>
      </c>
      <c r="G182" s="130" t="s">
        <v>338</v>
      </c>
    </row>
    <row r="183" spans="1:7">
      <c r="B183" s="382" t="s">
        <v>251</v>
      </c>
      <c r="C183" s="282">
        <v>18.670000000000002</v>
      </c>
      <c r="D183" s="282">
        <v>19.32</v>
      </c>
      <c r="E183" s="281">
        <v>83.4</v>
      </c>
      <c r="F183" s="283">
        <v>84.9</v>
      </c>
      <c r="G183" s="104" t="s">
        <v>339</v>
      </c>
    </row>
    <row r="184" spans="1:7">
      <c r="B184" s="382"/>
      <c r="C184" s="282">
        <v>18</v>
      </c>
      <c r="D184" s="282">
        <v>18.66</v>
      </c>
      <c r="E184" s="281">
        <v>78.599999999999994</v>
      </c>
      <c r="F184" s="283">
        <v>83.3</v>
      </c>
      <c r="G184" s="104" t="s">
        <v>340</v>
      </c>
    </row>
    <row r="185" spans="1:7">
      <c r="B185" s="382"/>
      <c r="C185" s="282">
        <v>17.329999999999998</v>
      </c>
      <c r="D185" s="282">
        <v>17.989999999999998</v>
      </c>
      <c r="E185" s="281">
        <v>77</v>
      </c>
      <c r="F185" s="283">
        <v>78.5</v>
      </c>
      <c r="G185" s="104" t="s">
        <v>341</v>
      </c>
    </row>
    <row r="186" spans="1:7">
      <c r="B186" s="383" t="s">
        <v>255</v>
      </c>
      <c r="C186" s="285">
        <v>16.670000000000002</v>
      </c>
      <c r="D186" s="285">
        <v>17.32</v>
      </c>
      <c r="E186" s="284">
        <v>75.400000000000006</v>
      </c>
      <c r="F186" s="286">
        <v>76.900000000000006</v>
      </c>
      <c r="G186" s="131" t="s">
        <v>342</v>
      </c>
    </row>
    <row r="187" spans="1:7">
      <c r="B187" s="384"/>
      <c r="C187" s="285">
        <v>16</v>
      </c>
      <c r="D187" s="285">
        <v>16.66</v>
      </c>
      <c r="E187" s="284">
        <v>71.5</v>
      </c>
      <c r="F187" s="286">
        <v>75.3</v>
      </c>
      <c r="G187" s="80" t="s">
        <v>343</v>
      </c>
    </row>
    <row r="188" spans="1:7">
      <c r="B188" s="385"/>
      <c r="C188" s="285">
        <v>15.33</v>
      </c>
      <c r="D188" s="285">
        <v>15.99</v>
      </c>
      <c r="E188" s="284">
        <v>70</v>
      </c>
      <c r="F188" s="286">
        <v>71.5</v>
      </c>
      <c r="G188" s="132" t="s">
        <v>344</v>
      </c>
    </row>
    <row r="189" spans="1:7">
      <c r="B189" s="386" t="s">
        <v>259</v>
      </c>
      <c r="C189" s="282">
        <v>14.67</v>
      </c>
      <c r="D189" s="282">
        <v>15.32</v>
      </c>
      <c r="E189" s="281">
        <v>68.400000000000006</v>
      </c>
      <c r="F189" s="283">
        <v>69.900000000000006</v>
      </c>
      <c r="G189" s="133" t="s">
        <v>260</v>
      </c>
    </row>
    <row r="190" spans="1:7" ht="15" thickBot="1">
      <c r="B190" s="387"/>
      <c r="C190" s="288">
        <v>0</v>
      </c>
      <c r="D190" s="288">
        <v>14.66</v>
      </c>
      <c r="E190" s="287">
        <v>0</v>
      </c>
      <c r="F190" s="289">
        <v>68.3</v>
      </c>
      <c r="G190" s="105" t="s">
        <v>261</v>
      </c>
    </row>
    <row r="191" spans="1:7" ht="15" thickBot="1"/>
    <row r="192" spans="1:7" ht="15" thickBot="1">
      <c r="A192" s="388" t="s">
        <v>285</v>
      </c>
      <c r="B192" s="390"/>
      <c r="C192" s="390"/>
      <c r="D192" s="390"/>
      <c r="E192" s="390"/>
      <c r="F192" s="389"/>
    </row>
    <row r="193" spans="1:7" ht="15" thickBot="1">
      <c r="A193" s="388" t="str">
        <f>Summary!B4</f>
        <v>Option 1</v>
      </c>
      <c r="B193" s="389"/>
      <c r="C193" s="388" t="str">
        <f>Summary!C4</f>
        <v>Option 2</v>
      </c>
      <c r="D193" s="389"/>
      <c r="E193" s="388" t="str">
        <f>Summary!D4</f>
        <v>Option 3</v>
      </c>
      <c r="F193" s="389"/>
    </row>
    <row r="194" spans="1:7" ht="15" thickBot="1">
      <c r="A194" s="290" t="s">
        <v>233</v>
      </c>
      <c r="B194" s="291">
        <f>Geometry!B12</f>
        <v>32</v>
      </c>
      <c r="C194" s="290" t="s">
        <v>233</v>
      </c>
      <c r="D194" s="291">
        <f>Geometry!C12</f>
        <v>0</v>
      </c>
      <c r="E194" s="290" t="s">
        <v>233</v>
      </c>
      <c r="F194" s="291">
        <f>Geometry!D12</f>
        <v>0</v>
      </c>
    </row>
    <row r="195" spans="1:7" ht="15" thickBot="1">
      <c r="A195" s="292" t="s">
        <v>234</v>
      </c>
      <c r="B195" s="293">
        <f>IF(ISNUMBER(SEARCH("Two-Way",Geometry!B11)),_xlfn.XLOOKUP(B194,$C$159:$C$173,$C$159:$C$173,,-1,1),_xlfn.XLOOKUP(B194,$C$176:$C$190,$C$176:$C$190,,-1,1))</f>
        <v>32</v>
      </c>
      <c r="C195" s="292" t="s">
        <v>234</v>
      </c>
      <c r="D195" s="293">
        <f>IF(ISNUMBER(SEARCH("Two-Way",Geometry!C11)),_xlfn.XLOOKUP(D194,$C$159:$C$173,$C$159:$C$173,,-1,1),_xlfn.XLOOKUP(D194,$C$176:$C$190,$C$176:$C$190,,-1,1))</f>
        <v>0</v>
      </c>
      <c r="E195" s="292" t="s">
        <v>234</v>
      </c>
      <c r="F195" s="293">
        <f>IF(ISNUMBER(SEARCH("Two-Way",Geometry!D11)),_xlfn.XLOOKUP(F194,$C$159:$C$173,$C$159:$C$173,,-1,1),_xlfn.XLOOKUP(F194,$C$176:$C$190,$C$176:$C$190,,-1,1))</f>
        <v>0</v>
      </c>
    </row>
    <row r="196" spans="1:7" ht="15" thickBot="1">
      <c r="A196" s="292" t="s">
        <v>235</v>
      </c>
      <c r="B196" s="293">
        <f>IF(ISNUMBER(SEARCH("Two-Way",Geometry!B11)),_xlfn.XLOOKUP(B194,$D$159:$D$173,$D$159:$D$173,,1,1),_xlfn.XLOOKUP(B194,$D$176:$D$190,$D$176:$D$190,,1,1))</f>
        <v>32.659999999999997</v>
      </c>
      <c r="C196" s="292" t="s">
        <v>235</v>
      </c>
      <c r="D196" s="293" cm="1">
        <f t="array" ref="D196">IF(ISNUMBER(SEARCH("Two-Way",Geometry!C11)),_xlfn.XLOOKUP(D194,$D$159:$D$173,$D$159:$D$173,,1,1),_xlfn.XLOOKUP(D194,$D$176:D$190,$D$176:$D$190,1,1))</f>
        <v>14.66</v>
      </c>
      <c r="E196" s="292" t="s">
        <v>235</v>
      </c>
      <c r="F196" s="293">
        <f>IF(ISNUMBER(SEARCH("Two-Way",Geometry!D11)),_xlfn.XLOOKUP(F194,$D$159:$D$173,$D$159:$D$173,,1,1),_xlfn.XLOOKUP(F194,$D$176:$D$190,$D$176:$D$190,1,1))</f>
        <v>14.66</v>
      </c>
    </row>
    <row r="197" spans="1:7" ht="15" thickBot="1">
      <c r="A197" s="292" t="s">
        <v>236</v>
      </c>
      <c r="B197" s="293">
        <f>IF(ISNUMBER(SEARCH("Two-Way",Geometry!B11)),VLOOKUP(B195,$C$159:$E$173,3,FALSE),VLOOKUP(B195,$C$176:$E$190,3,FALSE))</f>
        <v>94.6</v>
      </c>
      <c r="C197" s="292" t="s">
        <v>236</v>
      </c>
      <c r="D197" s="293">
        <f>IF(ISNUMBER(SEARCH("Two-Way",Geometry!C11)),VLOOKUP(D195,$C$159:$E$173,3,FALSE),VLOOKUP(D195,$C$176:$E$190,3,FALSE))</f>
        <v>0</v>
      </c>
      <c r="E197" s="292" t="s">
        <v>236</v>
      </c>
      <c r="F197" s="293">
        <f>IF(ISNUMBER(SEARCH("Two-Way",Geometry!D11)),VLOOKUP(F195,$C$159:$E$173,3,FALSE),VLOOKUP(F195,$C$176:$E$190,3,FALSE))</f>
        <v>0</v>
      </c>
    </row>
    <row r="198" spans="1:7" ht="15" thickBot="1">
      <c r="A198" s="294" t="s">
        <v>237</v>
      </c>
      <c r="B198" s="295">
        <f>IF(ISNUMBER(SEARCH("Two-Way",Geometry!B11)),VLOOKUP(B196,$D$159:$F$173,3,FALSE),VLOOKUP(B196,$D$176:$F$190,3,FALSE))</f>
        <v>98.4</v>
      </c>
      <c r="C198" s="294" t="s">
        <v>237</v>
      </c>
      <c r="D198" s="295">
        <f>IF(ISNUMBER(SEARCH("Two-Way",Geometry!C11)),VLOOKUP(D196,$D$159:$F$173,3,FALSE),VLOOKUP(D196,$D$176:$F$190,3,FALSE))</f>
        <v>68.3</v>
      </c>
      <c r="E198" s="294" t="s">
        <v>237</v>
      </c>
      <c r="F198" s="295">
        <f>IF(ISNUMBER(SEARCH("Two-Way",Geometry!D11)),VLOOKUP(F196,$D$159:$F$173,3,FALSE),VLOOKUP(F196,$D$176:$F$190,3,FALSE))</f>
        <v>68.3</v>
      </c>
    </row>
    <row r="199" spans="1:7">
      <c r="A199" s="391" t="s">
        <v>238</v>
      </c>
      <c r="B199" s="392"/>
      <c r="C199" s="391" t="s">
        <v>238</v>
      </c>
      <c r="D199" s="392"/>
      <c r="E199" s="391" t="s">
        <v>238</v>
      </c>
      <c r="F199" s="392"/>
    </row>
    <row r="200" spans="1:7" ht="29.45" thickBot="1">
      <c r="A200" s="171">
        <f>FORECAST(B194,B197:B198,B195:B196)</f>
        <v>94.6</v>
      </c>
      <c r="B200" s="109" t="s">
        <v>239</v>
      </c>
      <c r="C200" s="171">
        <f>FORECAST(D194,D197:D198,D195:D196)</f>
        <v>0</v>
      </c>
      <c r="D200" s="109" t="s">
        <v>239</v>
      </c>
      <c r="E200" s="171">
        <f>FORECAST(F194,F197:F198,F195:F196)</f>
        <v>0</v>
      </c>
      <c r="F200" s="109" t="s">
        <v>239</v>
      </c>
    </row>
    <row r="201" spans="1:7" ht="15" thickBot="1"/>
    <row r="202" spans="1:7" ht="15" thickBot="1">
      <c r="B202" s="127" t="s">
        <v>142</v>
      </c>
      <c r="C202" s="422" t="s">
        <v>346</v>
      </c>
      <c r="D202" s="422"/>
      <c r="E202" s="400" t="s">
        <v>242</v>
      </c>
      <c r="F202" s="389"/>
      <c r="G202" s="20"/>
    </row>
    <row r="203" spans="1:7">
      <c r="B203" s="396" t="s">
        <v>152</v>
      </c>
      <c r="C203" s="296">
        <v>87.51</v>
      </c>
      <c r="D203" s="296">
        <v>100</v>
      </c>
      <c r="E203" s="297">
        <v>96.6</v>
      </c>
      <c r="F203" s="298">
        <v>100</v>
      </c>
      <c r="G203" s="55"/>
    </row>
    <row r="204" spans="1:7">
      <c r="B204" s="396"/>
      <c r="C204" s="299">
        <v>75</v>
      </c>
      <c r="D204" s="299">
        <v>87.5</v>
      </c>
      <c r="E204" s="300">
        <v>93</v>
      </c>
      <c r="F204" s="301">
        <v>96.5</v>
      </c>
      <c r="G204" s="55"/>
    </row>
    <row r="205" spans="1:7">
      <c r="B205" s="379" t="s">
        <v>150</v>
      </c>
      <c r="C205" s="302">
        <v>70</v>
      </c>
      <c r="D205" s="302">
        <v>74.989999999999995</v>
      </c>
      <c r="E205" s="303">
        <v>88.6</v>
      </c>
      <c r="F205" s="304">
        <v>92.9</v>
      </c>
      <c r="G205" s="55"/>
    </row>
    <row r="206" spans="1:7">
      <c r="B206" s="381"/>
      <c r="C206" s="302">
        <v>65</v>
      </c>
      <c r="D206" s="302">
        <v>69.989999999999995</v>
      </c>
      <c r="E206" s="303">
        <v>85</v>
      </c>
      <c r="F206" s="304">
        <v>88.5</v>
      </c>
      <c r="G206" s="55"/>
    </row>
    <row r="207" spans="1:7">
      <c r="B207" s="382" t="s">
        <v>148</v>
      </c>
      <c r="C207" s="299">
        <v>49</v>
      </c>
      <c r="D207" s="299">
        <v>64.989999999999995</v>
      </c>
      <c r="E207" s="300">
        <v>81</v>
      </c>
      <c r="F207" s="301">
        <v>84.9</v>
      </c>
      <c r="G207" s="55"/>
    </row>
    <row r="208" spans="1:7">
      <c r="B208" s="382"/>
      <c r="C208" s="299">
        <v>33</v>
      </c>
      <c r="D208" s="299">
        <v>48.99</v>
      </c>
      <c r="E208" s="300">
        <v>77</v>
      </c>
      <c r="F208" s="301">
        <v>80.900000000000006</v>
      </c>
      <c r="G208" s="55"/>
    </row>
    <row r="209" spans="1:7">
      <c r="B209" s="383" t="s">
        <v>146</v>
      </c>
      <c r="C209" s="302">
        <v>21.5</v>
      </c>
      <c r="D209" s="302">
        <v>32.99</v>
      </c>
      <c r="E209" s="303">
        <v>73.2</v>
      </c>
      <c r="F209" s="304">
        <v>76.400000000000006</v>
      </c>
      <c r="G209" s="55"/>
    </row>
    <row r="210" spans="1:7">
      <c r="B210" s="385"/>
      <c r="C210" s="302">
        <v>10</v>
      </c>
      <c r="D210" s="302">
        <v>21.49</v>
      </c>
      <c r="E210" s="303">
        <v>70</v>
      </c>
      <c r="F210" s="304">
        <v>73.099999999999994</v>
      </c>
      <c r="G210" s="55"/>
    </row>
    <row r="211" spans="1:7">
      <c r="B211" s="386" t="s">
        <v>144</v>
      </c>
      <c r="C211" s="299">
        <v>5</v>
      </c>
      <c r="D211" s="299">
        <v>9.99</v>
      </c>
      <c r="E211" s="300">
        <v>0</v>
      </c>
      <c r="F211" s="301">
        <v>0</v>
      </c>
      <c r="G211" s="55"/>
    </row>
    <row r="212" spans="1:7" ht="15" thickBot="1">
      <c r="B212" s="387"/>
      <c r="C212" s="305">
        <v>0</v>
      </c>
      <c r="D212" s="305">
        <v>4.99</v>
      </c>
      <c r="E212" s="306">
        <v>0</v>
      </c>
      <c r="F212" s="307">
        <v>0</v>
      </c>
      <c r="G212" s="55"/>
    </row>
    <row r="213" spans="1:7" ht="15" thickBot="1"/>
    <row r="214" spans="1:7" ht="15" thickBot="1">
      <c r="A214" s="388" t="s">
        <v>347</v>
      </c>
      <c r="B214" s="390"/>
      <c r="C214" s="390"/>
      <c r="D214" s="390"/>
      <c r="E214" s="390"/>
      <c r="F214" s="389"/>
    </row>
    <row r="215" spans="1:7" ht="15" thickBot="1">
      <c r="A215" s="388" t="str">
        <f>Summary!B4</f>
        <v>Option 1</v>
      </c>
      <c r="B215" s="389"/>
      <c r="C215" s="388" t="str">
        <f>Summary!C4</f>
        <v>Option 2</v>
      </c>
      <c r="D215" s="389"/>
      <c r="E215" s="388" t="str">
        <f>Summary!D4</f>
        <v>Option 3</v>
      </c>
      <c r="F215" s="389"/>
    </row>
    <row r="216" spans="1:7">
      <c r="A216" s="268" t="s">
        <v>233</v>
      </c>
      <c r="B216" s="269">
        <f>Wayfinding!B4</f>
        <v>65</v>
      </c>
      <c r="C216" s="268" t="s">
        <v>233</v>
      </c>
      <c r="D216" s="269">
        <f>Wayfinding!C4</f>
        <v>0</v>
      </c>
      <c r="E216" s="268" t="s">
        <v>233</v>
      </c>
      <c r="F216" s="269">
        <f>Wayfinding!D4</f>
        <v>0</v>
      </c>
    </row>
    <row r="217" spans="1:7">
      <c r="A217" s="270" t="s">
        <v>234</v>
      </c>
      <c r="B217" s="283">
        <f>_xlfn.XLOOKUP(B216,$C$203:$C$212,$C$203:$C$212,,-1,1)</f>
        <v>65</v>
      </c>
      <c r="C217" s="270" t="s">
        <v>234</v>
      </c>
      <c r="D217" s="283">
        <f>_xlfn.XLOOKUP(D216,$C$203:$C$212,$C$203:$C$212,,-1,1)</f>
        <v>0</v>
      </c>
      <c r="E217" s="270" t="s">
        <v>234</v>
      </c>
      <c r="F217" s="283">
        <f>_xlfn.XLOOKUP(F216,$C$203:$C$212,$C$203:$C$212,,-1,1)</f>
        <v>0</v>
      </c>
    </row>
    <row r="218" spans="1:7">
      <c r="A218" s="270" t="s">
        <v>235</v>
      </c>
      <c r="B218" s="283">
        <f>_xlfn.XLOOKUP(B217,$D$203:$D$212,$D$203:$D$212,,1,1)</f>
        <v>69.989999999999995</v>
      </c>
      <c r="C218" s="270" t="s">
        <v>235</v>
      </c>
      <c r="D218" s="283">
        <f>_xlfn.XLOOKUP(D217,$D$203:$D$212,$D$203:$D$212,,1,1)</f>
        <v>4.99</v>
      </c>
      <c r="E218" s="270" t="s">
        <v>235</v>
      </c>
      <c r="F218" s="283">
        <f>_xlfn.XLOOKUP(F217,$D$203:$D$212,$D$203:$D$212,,1,1)</f>
        <v>4.99</v>
      </c>
    </row>
    <row r="219" spans="1:7">
      <c r="A219" s="270" t="s">
        <v>236</v>
      </c>
      <c r="B219" s="283">
        <f>VLOOKUP(B217,$C$203:$E$212,3,FALSE)</f>
        <v>85</v>
      </c>
      <c r="C219" s="270" t="s">
        <v>236</v>
      </c>
      <c r="D219" s="283">
        <f>VLOOKUP(D217,$C$203:$E$212,3,FALSE)</f>
        <v>0</v>
      </c>
      <c r="E219" s="270" t="s">
        <v>236</v>
      </c>
      <c r="F219" s="283">
        <f>VLOOKUP(F217,$C$203:$E$212,3,FALSE)</f>
        <v>0</v>
      </c>
    </row>
    <row r="220" spans="1:7" ht="15" thickBot="1">
      <c r="A220" s="271" t="s">
        <v>237</v>
      </c>
      <c r="B220" s="289">
        <f>VLOOKUP(B218,$D$203:$F$212,3,FALSE)</f>
        <v>88.5</v>
      </c>
      <c r="C220" s="271" t="s">
        <v>237</v>
      </c>
      <c r="D220" s="289">
        <f>VLOOKUP(D218,$D$203:$F$212,3,FALSE)</f>
        <v>0</v>
      </c>
      <c r="E220" s="271" t="s">
        <v>237</v>
      </c>
      <c r="F220" s="289">
        <f>VLOOKUP(F218,$D$203:$F$212,3,FALSE)</f>
        <v>0</v>
      </c>
    </row>
    <row r="221" spans="1:7">
      <c r="A221" s="391" t="s">
        <v>238</v>
      </c>
      <c r="B221" s="392"/>
      <c r="C221" s="391" t="s">
        <v>238</v>
      </c>
      <c r="D221" s="392"/>
      <c r="E221" s="391" t="s">
        <v>238</v>
      </c>
      <c r="F221" s="392"/>
    </row>
    <row r="222" spans="1:7" ht="29.45" thickBot="1">
      <c r="A222" s="171">
        <f>FORECAST(B216,B219:B220,B217:B218)</f>
        <v>85</v>
      </c>
      <c r="B222" s="109" t="s">
        <v>239</v>
      </c>
      <c r="C222" s="171">
        <f>FORECAST(D216,D219:D220,D217:D218)</f>
        <v>0</v>
      </c>
      <c r="D222" s="109" t="s">
        <v>239</v>
      </c>
      <c r="E222" s="171">
        <f>FORECAST(F216,F219:F220,F217:F218)</f>
        <v>0</v>
      </c>
      <c r="F222" s="109" t="s">
        <v>239</v>
      </c>
    </row>
    <row r="223" spans="1:7" ht="15" thickBot="1">
      <c r="A223" s="15"/>
      <c r="C223" s="17"/>
      <c r="E223" s="15"/>
    </row>
    <row r="224" spans="1:7" ht="15" thickBot="1">
      <c r="A224" s="15"/>
      <c r="B224" s="421" t="s">
        <v>348</v>
      </c>
      <c r="C224" s="421"/>
      <c r="D224" s="421"/>
      <c r="E224" s="15"/>
    </row>
    <row r="225" spans="1:5">
      <c r="A225" s="15"/>
      <c r="B225" s="14"/>
      <c r="C225" s="62"/>
      <c r="D225" s="14"/>
      <c r="E225" s="15"/>
    </row>
    <row r="226" spans="1:5">
      <c r="B226" s="314" t="s">
        <v>349</v>
      </c>
      <c r="C226" s="315">
        <v>100</v>
      </c>
      <c r="D226" s="84" t="s">
        <v>152</v>
      </c>
    </row>
    <row r="227" spans="1:5">
      <c r="B227" s="316" t="s">
        <v>350</v>
      </c>
      <c r="C227" s="317">
        <v>92.9</v>
      </c>
      <c r="D227" s="78" t="s">
        <v>150</v>
      </c>
    </row>
    <row r="228" spans="1:5">
      <c r="B228" s="316" t="s">
        <v>351</v>
      </c>
      <c r="C228" s="224">
        <v>92.016000000000005</v>
      </c>
      <c r="D228" s="78" t="s">
        <v>150</v>
      </c>
    </row>
    <row r="229" spans="1:5">
      <c r="B229" s="316" t="s">
        <v>352</v>
      </c>
      <c r="C229" s="224">
        <v>91.138999999999996</v>
      </c>
      <c r="D229" s="78" t="s">
        <v>150</v>
      </c>
    </row>
    <row r="230" spans="1:5">
      <c r="B230" s="316" t="s">
        <v>353</v>
      </c>
      <c r="C230" s="224">
        <v>90.262</v>
      </c>
      <c r="D230" s="78" t="s">
        <v>150</v>
      </c>
    </row>
    <row r="231" spans="1:5">
      <c r="B231" s="316" t="s">
        <v>354</v>
      </c>
      <c r="C231" s="224">
        <v>89.385000000000005</v>
      </c>
      <c r="D231" s="78" t="s">
        <v>150</v>
      </c>
    </row>
    <row r="232" spans="1:5">
      <c r="B232" s="316" t="s">
        <v>355</v>
      </c>
      <c r="C232" s="224">
        <v>88.507999999999996</v>
      </c>
      <c r="D232" s="78" t="s">
        <v>150</v>
      </c>
    </row>
    <row r="233" spans="1:5">
      <c r="B233" s="316" t="s">
        <v>356</v>
      </c>
      <c r="C233" s="224">
        <v>87.631</v>
      </c>
      <c r="D233" s="78" t="s">
        <v>150</v>
      </c>
    </row>
    <row r="234" spans="1:5">
      <c r="B234" s="316" t="s">
        <v>357</v>
      </c>
      <c r="C234" s="224">
        <v>86.754000000000005</v>
      </c>
      <c r="D234" s="78" t="s">
        <v>150</v>
      </c>
    </row>
    <row r="235" spans="1:5">
      <c r="B235" s="316" t="s">
        <v>358</v>
      </c>
      <c r="C235" s="224">
        <v>85.876999999999995</v>
      </c>
      <c r="D235" s="78" t="s">
        <v>150</v>
      </c>
    </row>
    <row r="236" spans="1:5">
      <c r="B236" s="316" t="s">
        <v>359</v>
      </c>
      <c r="C236" s="224">
        <v>85</v>
      </c>
      <c r="D236" s="166" t="s">
        <v>150</v>
      </c>
    </row>
    <row r="237" spans="1:5">
      <c r="B237" s="316" t="s">
        <v>360</v>
      </c>
      <c r="C237" s="224">
        <v>84.9</v>
      </c>
      <c r="D237" s="79" t="s">
        <v>148</v>
      </c>
    </row>
    <row r="238" spans="1:5">
      <c r="B238" s="316" t="s">
        <v>361</v>
      </c>
      <c r="C238" s="224">
        <v>83.768000000000001</v>
      </c>
      <c r="D238" s="79" t="s">
        <v>148</v>
      </c>
    </row>
    <row r="239" spans="1:5">
      <c r="B239" s="316" t="s">
        <v>362</v>
      </c>
      <c r="C239" s="224">
        <v>82.64</v>
      </c>
      <c r="D239" s="79" t="s">
        <v>148</v>
      </c>
    </row>
    <row r="240" spans="1:5">
      <c r="B240" s="316" t="s">
        <v>363</v>
      </c>
      <c r="C240" s="224">
        <v>81.512</v>
      </c>
      <c r="D240" s="79" t="s">
        <v>148</v>
      </c>
    </row>
    <row r="241" spans="2:9">
      <c r="B241" s="316" t="s">
        <v>364</v>
      </c>
      <c r="C241" s="224">
        <v>80.384</v>
      </c>
      <c r="D241" s="79" t="s">
        <v>148</v>
      </c>
    </row>
    <row r="242" spans="2:9">
      <c r="B242" s="316" t="s">
        <v>365</v>
      </c>
      <c r="C242" s="224">
        <v>79.256</v>
      </c>
      <c r="D242" s="79" t="s">
        <v>148</v>
      </c>
      <c r="E242" s="308" t="s">
        <v>366</v>
      </c>
      <c r="F242" s="57"/>
      <c r="G242" s="57"/>
      <c r="H242" s="57"/>
      <c r="I242" s="57"/>
    </row>
    <row r="243" spans="2:9">
      <c r="B243" s="316" t="s">
        <v>367</v>
      </c>
      <c r="C243" s="224">
        <v>78.128</v>
      </c>
      <c r="D243" s="79" t="s">
        <v>148</v>
      </c>
      <c r="E243" s="3" t="s">
        <v>368</v>
      </c>
      <c r="F243" s="57"/>
      <c r="G243" s="57"/>
      <c r="H243" s="57"/>
      <c r="I243" s="57"/>
    </row>
    <row r="244" spans="2:9">
      <c r="B244" s="316" t="s">
        <v>46</v>
      </c>
      <c r="C244" s="224">
        <v>77</v>
      </c>
      <c r="D244" s="83" t="s">
        <v>148</v>
      </c>
      <c r="E244" s="3" t="s">
        <v>54</v>
      </c>
      <c r="F244" s="57"/>
      <c r="G244" s="57"/>
      <c r="H244" s="57"/>
      <c r="I244" s="57"/>
    </row>
    <row r="245" spans="2:9">
      <c r="B245" s="316" t="s">
        <v>369</v>
      </c>
      <c r="C245" s="224">
        <v>76.900000000000006</v>
      </c>
      <c r="D245" s="80" t="s">
        <v>146</v>
      </c>
      <c r="E245" s="3" t="s">
        <v>370</v>
      </c>
    </row>
    <row r="246" spans="2:9">
      <c r="B246" s="316" t="s">
        <v>371</v>
      </c>
      <c r="C246" s="224">
        <v>75.52</v>
      </c>
      <c r="D246" s="80" t="s">
        <v>146</v>
      </c>
      <c r="E246" s="3" t="s">
        <v>372</v>
      </c>
      <c r="F246" s="308" t="s">
        <v>366</v>
      </c>
    </row>
    <row r="247" spans="2:9">
      <c r="B247" s="316" t="s">
        <v>373</v>
      </c>
      <c r="C247" s="224">
        <v>74.14</v>
      </c>
      <c r="D247" s="80" t="s">
        <v>146</v>
      </c>
      <c r="E247" s="3" t="s">
        <v>374</v>
      </c>
      <c r="F247" s="58" t="s">
        <v>50</v>
      </c>
      <c r="H247" s="308" t="s">
        <v>366</v>
      </c>
    </row>
    <row r="248" spans="2:9">
      <c r="B248" s="316" t="s">
        <v>375</v>
      </c>
      <c r="C248" s="224">
        <v>72.760000000000005</v>
      </c>
      <c r="D248" s="80" t="s">
        <v>146</v>
      </c>
      <c r="E248" s="3" t="s">
        <v>376</v>
      </c>
      <c r="F248" s="58" t="s">
        <v>377</v>
      </c>
      <c r="H248" s="3" t="s">
        <v>29</v>
      </c>
    </row>
    <row r="249" spans="2:9">
      <c r="B249" s="316" t="s">
        <v>378</v>
      </c>
      <c r="C249" s="224">
        <v>71.38</v>
      </c>
      <c r="D249" s="81" t="s">
        <v>379</v>
      </c>
      <c r="E249" s="3" t="s">
        <v>56</v>
      </c>
      <c r="F249" s="58" t="s">
        <v>380</v>
      </c>
      <c r="H249" s="3" t="s">
        <v>42</v>
      </c>
    </row>
    <row r="250" spans="2:9" ht="29.45" thickBot="1">
      <c r="B250" s="318" t="s">
        <v>381</v>
      </c>
      <c r="C250" s="319">
        <v>70</v>
      </c>
      <c r="D250" s="82" t="s">
        <v>382</v>
      </c>
      <c r="F250" s="58" t="s">
        <v>383</v>
      </c>
    </row>
    <row r="252" spans="2:9">
      <c r="H252" s="3" t="s">
        <v>384</v>
      </c>
    </row>
    <row r="253" spans="2:9" ht="15" thickBot="1">
      <c r="H253" s="3" t="b">
        <v>0</v>
      </c>
    </row>
    <row r="254" spans="2:9">
      <c r="B254" s="424" t="s">
        <v>385</v>
      </c>
      <c r="C254" s="425"/>
      <c r="D254" s="425"/>
      <c r="E254" s="426"/>
    </row>
    <row r="255" spans="2:9" ht="15" thickBot="1">
      <c r="B255" s="185" t="s">
        <v>386</v>
      </c>
      <c r="C255" s="186" t="str">
        <f>Summary!B4</f>
        <v>Option 1</v>
      </c>
      <c r="D255" s="186" t="str">
        <f>Summary!C4</f>
        <v>Option 2</v>
      </c>
      <c r="E255" s="5" t="str">
        <f>Summary!D4</f>
        <v>Option 3</v>
      </c>
    </row>
    <row r="256" spans="2:9">
      <c r="B256" s="20" t="s">
        <v>387</v>
      </c>
      <c r="C256" s="183" t="str">
        <f>Summary!B13</f>
        <v>YES</v>
      </c>
      <c r="D256" s="183">
        <f>Summary!C13</f>
        <v>0</v>
      </c>
      <c r="E256" s="184">
        <f>Summary!D13</f>
        <v>0</v>
      </c>
    </row>
    <row r="257" spans="2:7">
      <c r="B257" s="20"/>
      <c r="C257" s="183"/>
      <c r="D257" s="183"/>
      <c r="E257" s="184"/>
    </row>
    <row r="259" spans="2:7">
      <c r="C259" s="19"/>
      <c r="D259" s="19"/>
      <c r="E259" s="19"/>
    </row>
    <row r="261" spans="2:7">
      <c r="G261" s="15"/>
    </row>
    <row r="262" spans="2:7">
      <c r="C262" s="19"/>
      <c r="D262" s="19"/>
      <c r="E262" s="15"/>
      <c r="F262" s="15"/>
      <c r="G262" s="15"/>
    </row>
    <row r="263" spans="2:7">
      <c r="C263" s="19"/>
      <c r="D263" s="19"/>
      <c r="E263" s="15"/>
      <c r="F263" s="15"/>
      <c r="G263" s="15"/>
    </row>
    <row r="264" spans="2:7">
      <c r="C264" s="19"/>
      <c r="D264" s="19"/>
      <c r="E264" s="15"/>
      <c r="F264" s="15"/>
      <c r="G264" s="15"/>
    </row>
    <row r="265" spans="2:7">
      <c r="C265" s="19"/>
      <c r="D265" s="19"/>
      <c r="E265" s="15"/>
      <c r="F265" s="15"/>
      <c r="G265" s="15"/>
    </row>
    <row r="266" spans="2:7">
      <c r="C266" s="19"/>
      <c r="D266" s="19"/>
      <c r="E266" s="15"/>
      <c r="F266" s="15"/>
    </row>
    <row r="267" spans="2:7">
      <c r="C267" s="19"/>
      <c r="D267" s="19"/>
      <c r="E267" s="15"/>
      <c r="F267" s="15"/>
    </row>
    <row r="268" spans="2:7">
      <c r="C268" s="19"/>
      <c r="D268" s="19"/>
      <c r="E268" s="15"/>
      <c r="F268" s="15"/>
    </row>
    <row r="269" spans="2:7">
      <c r="B269" s="374"/>
      <c r="C269" s="374"/>
      <c r="D269" s="374"/>
      <c r="E269" s="374"/>
      <c r="F269" s="374"/>
      <c r="G269" s="374"/>
    </row>
    <row r="270" spans="2:7">
      <c r="B270" s="374"/>
      <c r="C270" s="374"/>
      <c r="D270" s="374"/>
      <c r="E270" s="374"/>
      <c r="F270" s="374"/>
      <c r="G270" s="374"/>
    </row>
    <row r="271" spans="2:7">
      <c r="C271" s="19"/>
      <c r="E271" s="19"/>
      <c r="G271" s="19"/>
    </row>
    <row r="272" spans="2:7">
      <c r="C272" s="19"/>
      <c r="E272" s="19"/>
      <c r="G272" s="19"/>
    </row>
    <row r="273" spans="2:7">
      <c r="C273" s="19"/>
      <c r="E273" s="19"/>
      <c r="G273" s="19"/>
    </row>
    <row r="274" spans="2:7">
      <c r="C274" s="19"/>
      <c r="E274" s="19"/>
      <c r="G274" s="19"/>
    </row>
    <row r="275" spans="2:7">
      <c r="C275" s="19"/>
      <c r="E275" s="19"/>
      <c r="G275" s="19"/>
    </row>
    <row r="276" spans="2:7">
      <c r="B276" s="374"/>
      <c r="C276" s="374"/>
      <c r="D276" s="374"/>
      <c r="E276" s="374"/>
      <c r="F276" s="374"/>
      <c r="G276" s="374"/>
    </row>
    <row r="277" spans="2:7">
      <c r="B277" s="191"/>
      <c r="C277" s="22"/>
      <c r="D277" s="191"/>
      <c r="E277" s="22"/>
      <c r="F277" s="191"/>
      <c r="G277" s="22"/>
    </row>
  </sheetData>
  <mergeCells count="133">
    <mergeCell ref="I106:J106"/>
    <mergeCell ref="I107:J107"/>
    <mergeCell ref="I108:J108"/>
    <mergeCell ref="B254:E254"/>
    <mergeCell ref="C109:D109"/>
    <mergeCell ref="E128:F128"/>
    <mergeCell ref="B163:B165"/>
    <mergeCell ref="B269:G269"/>
    <mergeCell ref="B270:C270"/>
    <mergeCell ref="D270:E270"/>
    <mergeCell ref="F270:G270"/>
    <mergeCell ref="D142:E142"/>
    <mergeCell ref="D143:E143"/>
    <mergeCell ref="D144:E144"/>
    <mergeCell ref="D145:E145"/>
    <mergeCell ref="D146:E146"/>
    <mergeCell ref="D138:E138"/>
    <mergeCell ref="D139:E139"/>
    <mergeCell ref="B207:B208"/>
    <mergeCell ref="B209:B210"/>
    <mergeCell ref="B211:B212"/>
    <mergeCell ref="E215:F215"/>
    <mergeCell ref="B158:D158"/>
    <mergeCell ref="B159:B162"/>
    <mergeCell ref="B276:C276"/>
    <mergeCell ref="D276:E276"/>
    <mergeCell ref="F276:G276"/>
    <mergeCell ref="E221:F221"/>
    <mergeCell ref="C221:D221"/>
    <mergeCell ref="A221:B221"/>
    <mergeCell ref="D155:E155"/>
    <mergeCell ref="D156:E156"/>
    <mergeCell ref="D147:E147"/>
    <mergeCell ref="D148:E148"/>
    <mergeCell ref="D149:E149"/>
    <mergeCell ref="D150:E150"/>
    <mergeCell ref="D151:E151"/>
    <mergeCell ref="B224:D224"/>
    <mergeCell ref="A199:B199"/>
    <mergeCell ref="C199:D199"/>
    <mergeCell ref="E199:F199"/>
    <mergeCell ref="E202:F202"/>
    <mergeCell ref="A214:F214"/>
    <mergeCell ref="A215:B215"/>
    <mergeCell ref="C215:D215"/>
    <mergeCell ref="C202:D202"/>
    <mergeCell ref="B203:B204"/>
    <mergeCell ref="B205:B206"/>
    <mergeCell ref="A9:E9"/>
    <mergeCell ref="B47:D47"/>
    <mergeCell ref="E47:G47"/>
    <mergeCell ref="B59:G59"/>
    <mergeCell ref="B60:C60"/>
    <mergeCell ref="D60:E60"/>
    <mergeCell ref="F60:G60"/>
    <mergeCell ref="B66:C66"/>
    <mergeCell ref="D66:E66"/>
    <mergeCell ref="F66:G66"/>
    <mergeCell ref="B10:C10"/>
    <mergeCell ref="D10:E10"/>
    <mergeCell ref="A31:G31"/>
    <mergeCell ref="G48:G49"/>
    <mergeCell ref="G50:G51"/>
    <mergeCell ref="G52:G53"/>
    <mergeCell ref="G54:G55"/>
    <mergeCell ref="G56:G57"/>
    <mergeCell ref="B48:B49"/>
    <mergeCell ref="B50:B51"/>
    <mergeCell ref="B52:B53"/>
    <mergeCell ref="B54:B55"/>
    <mergeCell ref="B56:B57"/>
    <mergeCell ref="B131:E131"/>
    <mergeCell ref="D135:E135"/>
    <mergeCell ref="B166:B168"/>
    <mergeCell ref="B169:B171"/>
    <mergeCell ref="A76:A78"/>
    <mergeCell ref="A79:A81"/>
    <mergeCell ref="C86:D86"/>
    <mergeCell ref="A86:B86"/>
    <mergeCell ref="E92:F92"/>
    <mergeCell ref="C92:D92"/>
    <mergeCell ref="A92:B92"/>
    <mergeCell ref="D136:E136"/>
    <mergeCell ref="D137:E137"/>
    <mergeCell ref="A82:A83"/>
    <mergeCell ref="A73:A75"/>
    <mergeCell ref="G96:I100"/>
    <mergeCell ref="C96:D96"/>
    <mergeCell ref="G69:H69"/>
    <mergeCell ref="A193:B193"/>
    <mergeCell ref="C193:D193"/>
    <mergeCell ref="B175:D175"/>
    <mergeCell ref="A192:F192"/>
    <mergeCell ref="E193:F193"/>
    <mergeCell ref="B176:B179"/>
    <mergeCell ref="E96:F96"/>
    <mergeCell ref="E109:F109"/>
    <mergeCell ref="B97:B99"/>
    <mergeCell ref="E158:G158"/>
    <mergeCell ref="E175:G175"/>
    <mergeCell ref="D152:E152"/>
    <mergeCell ref="D153:E153"/>
    <mergeCell ref="D154:E154"/>
    <mergeCell ref="D140:E140"/>
    <mergeCell ref="D141:E141"/>
    <mergeCell ref="D133:E133"/>
    <mergeCell ref="D134:E134"/>
    <mergeCell ref="B172:B173"/>
    <mergeCell ref="D132:E132"/>
    <mergeCell ref="B180:B182"/>
    <mergeCell ref="B183:B185"/>
    <mergeCell ref="B186:B188"/>
    <mergeCell ref="B189:B190"/>
    <mergeCell ref="I69:J69"/>
    <mergeCell ref="A85:F85"/>
    <mergeCell ref="A121:F121"/>
    <mergeCell ref="E122:F122"/>
    <mergeCell ref="A128:B128"/>
    <mergeCell ref="C128:D128"/>
    <mergeCell ref="E86:F86"/>
    <mergeCell ref="C122:D122"/>
    <mergeCell ref="A122:B122"/>
    <mergeCell ref="B100:B101"/>
    <mergeCell ref="B102:B103"/>
    <mergeCell ref="B104:B105"/>
    <mergeCell ref="B106:B107"/>
    <mergeCell ref="B110:B111"/>
    <mergeCell ref="B112:B113"/>
    <mergeCell ref="B114:B115"/>
    <mergeCell ref="B116:B117"/>
    <mergeCell ref="B118:B119"/>
    <mergeCell ref="A69:D69"/>
    <mergeCell ref="A70:A72"/>
  </mergeCell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dd65b4d-4085-4eb1-9bba-990046b78f58">
      <Terms xmlns="http://schemas.microsoft.com/office/infopath/2007/PartnerControls"/>
    </lcf76f155ced4ddcb4097134ff3c332f>
    <TaxCatchAll xmlns="b6ef8e2b-6a6e-48d6-80a5-a58ab4873c4d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617CCB2E478884E942FF41DD20C6255" ma:contentTypeVersion="18" ma:contentTypeDescription="Create a new document." ma:contentTypeScope="" ma:versionID="766c6856fa6ee1ec639c6629e13be88d">
  <xsd:schema xmlns:xsd="http://www.w3.org/2001/XMLSchema" xmlns:xs="http://www.w3.org/2001/XMLSchema" xmlns:p="http://schemas.microsoft.com/office/2006/metadata/properties" xmlns:ns2="7d36e637-1fa3-49cd-9f5d-21bcf9f79c01" xmlns:ns3="8dd65b4d-4085-4eb1-9bba-990046b78f58" xmlns:ns4="b6ef8e2b-6a6e-48d6-80a5-a58ab4873c4d" targetNamespace="http://schemas.microsoft.com/office/2006/metadata/properties" ma:root="true" ma:fieldsID="953ea996b1a660745972aaf83bc77133" ns2:_="" ns3:_="" ns4:_="">
    <xsd:import namespace="7d36e637-1fa3-49cd-9f5d-21bcf9f79c01"/>
    <xsd:import namespace="8dd65b4d-4085-4eb1-9bba-990046b78f58"/>
    <xsd:import namespace="b6ef8e2b-6a6e-48d6-80a5-a58ab4873c4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  <xsd:element ref="ns3:lcf76f155ced4ddcb4097134ff3c332f" minOccurs="0"/>
                <xsd:element ref="ns4:TaxCatchAll" minOccurs="0"/>
                <xsd:element ref="ns3:MediaLengthInSeconds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36e637-1fa3-49cd-9f5d-21bcf9f79c01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d65b4d-4085-4eb1-9bba-990046b78f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40fef765-cd68-4fbc-89f4-922613e379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6ef8e2b-6a6e-48d6-80a5-a58ab4873c4d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eea2af14-d0b8-42cf-816c-68710eae5a12}" ma:internalName="TaxCatchAll" ma:showField="CatchAllData" ma:web="7d36e637-1fa3-49cd-9f5d-21bcf9f79c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8AB355D-C539-42AE-A748-FF1E3F271B9F}"/>
</file>

<file path=customXml/itemProps2.xml><?xml version="1.0" encoding="utf-8"?>
<ds:datastoreItem xmlns:ds="http://schemas.openxmlformats.org/officeDocument/2006/customXml" ds:itemID="{45D6D67A-1B69-49A1-BDA4-6DC15D5609DB}"/>
</file>

<file path=customXml/itemProps3.xml><?xml version="1.0" encoding="utf-8"?>
<ds:datastoreItem xmlns:ds="http://schemas.openxmlformats.org/officeDocument/2006/customXml" ds:itemID="{2AF40D20-BAE6-4516-BE95-A32ADD63AA6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>JBoley@walterpmoore.com</Manager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Brian Lozano;JBoley@walterpmoore.com</dc:creator>
  <cp:keywords/>
  <dc:description/>
  <cp:lastModifiedBy/>
  <cp:revision/>
  <dcterms:created xsi:type="dcterms:W3CDTF">2021-07-21T13:45:53Z</dcterms:created>
  <dcterms:modified xsi:type="dcterms:W3CDTF">2025-02-13T21:06:21Z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0x010100D617CCB2E478884E942FF41DD20C6255</vt:lpwstr>
  </property>
  <property fmtid="{D5CDD505-2E9C-101B-9397-08002B2CF9AE}" pid="3" name="MediaServiceImageTags">
    <vt:lpwstr/>
  </property>
</Properties>
</file>